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codeName="ThisWorkbook" defaultThemeVersion="124226"/>
  <xr:revisionPtr revIDLastSave="0" documentId="13_ncr:1_{8035DBE3-E733-4E59-93F0-3641671CFAB0}" xr6:coauthVersionLast="47" xr6:coauthVersionMax="47" xr10:uidLastSave="{00000000-0000-0000-0000-000000000000}"/>
  <bookViews>
    <workbookView xWindow="15735" yWindow="6045" windowWidth="28800" windowHeight="115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2" i="1" l="1"/>
  <c r="O2" i="1"/>
  <c r="L2" i="1"/>
  <c r="N2" i="1" s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487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00" i="1"/>
  <c r="J393" i="1"/>
  <c r="J391" i="1"/>
  <c r="J313" i="1"/>
  <c r="L303" i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L312" i="1"/>
  <c r="N312" i="1" s="1"/>
  <c r="L313" i="1"/>
  <c r="L314" i="1"/>
  <c r="N314" i="1" s="1"/>
  <c r="L315" i="1"/>
  <c r="L316" i="1"/>
  <c r="N316" i="1" s="1"/>
  <c r="L317" i="1"/>
  <c r="N317" i="1" s="1"/>
  <c r="L318" i="1"/>
  <c r="L319" i="1"/>
  <c r="N319" i="1" s="1"/>
  <c r="L320" i="1"/>
  <c r="L321" i="1"/>
  <c r="L322" i="1"/>
  <c r="L323" i="1"/>
  <c r="N323" i="1" s="1"/>
  <c r="L324" i="1"/>
  <c r="N324" i="1" s="1"/>
  <c r="L325" i="1"/>
  <c r="N325" i="1" s="1"/>
  <c r="L326" i="1"/>
  <c r="L327" i="1"/>
  <c r="N327" i="1" s="1"/>
  <c r="L328" i="1"/>
  <c r="L329" i="1"/>
  <c r="N329" i="1" s="1"/>
  <c r="L330" i="1"/>
  <c r="L331" i="1"/>
  <c r="N331" i="1" s="1"/>
  <c r="L332" i="1"/>
  <c r="N332" i="1" s="1"/>
  <c r="L333" i="1"/>
  <c r="N333" i="1" s="1"/>
  <c r="L334" i="1"/>
  <c r="N334" i="1" s="1"/>
  <c r="L335" i="1"/>
  <c r="L336" i="1"/>
  <c r="N336" i="1" s="1"/>
  <c r="L337" i="1"/>
  <c r="L338" i="1"/>
  <c r="N338" i="1" s="1"/>
  <c r="L339" i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87" i="1"/>
  <c r="N387" i="1" s="1"/>
  <c r="L388" i="1"/>
  <c r="N388" i="1" s="1"/>
  <c r="L389" i="1"/>
  <c r="N389" i="1" s="1"/>
  <c r="L390" i="1"/>
  <c r="N390" i="1" s="1"/>
  <c r="L391" i="1"/>
  <c r="N391" i="1" s="1"/>
  <c r="L392" i="1"/>
  <c r="N392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L400" i="1"/>
  <c r="N400" i="1" s="1"/>
  <c r="L401" i="1"/>
  <c r="L402" i="1"/>
  <c r="N402" i="1" s="1"/>
  <c r="L403" i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L412" i="1"/>
  <c r="N412" i="1" s="1"/>
  <c r="L413" i="1"/>
  <c r="N413" i="1" s="1"/>
  <c r="L414" i="1"/>
  <c r="N414" i="1" s="1"/>
  <c r="L415" i="1"/>
  <c r="L416" i="1"/>
  <c r="N416" i="1" s="1"/>
  <c r="L417" i="1"/>
  <c r="N417" i="1" s="1"/>
  <c r="L418" i="1"/>
  <c r="N418" i="1" s="1"/>
  <c r="L419" i="1"/>
  <c r="L420" i="1"/>
  <c r="N420" i="1" s="1"/>
  <c r="L421" i="1"/>
  <c r="N421" i="1" s="1"/>
  <c r="L422" i="1"/>
  <c r="L423" i="1"/>
  <c r="N423" i="1" s="1"/>
  <c r="L424" i="1"/>
  <c r="N424" i="1" s="1"/>
  <c r="L425" i="1"/>
  <c r="N425" i="1" s="1"/>
  <c r="L426" i="1"/>
  <c r="L427" i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L436" i="1"/>
  <c r="N436" i="1" s="1"/>
  <c r="L437" i="1"/>
  <c r="N437" i="1" s="1"/>
  <c r="L438" i="1"/>
  <c r="L439" i="1"/>
  <c r="L440" i="1"/>
  <c r="N440" i="1" s="1"/>
  <c r="L441" i="1"/>
  <c r="N441" i="1" s="1"/>
  <c r="L442" i="1"/>
  <c r="L443" i="1"/>
  <c r="N443" i="1" s="1"/>
  <c r="L444" i="1"/>
  <c r="N444" i="1" s="1"/>
  <c r="L445" i="1"/>
  <c r="N445" i="1" s="1"/>
  <c r="L446" i="1"/>
  <c r="N446" i="1" s="1"/>
  <c r="L487" i="1"/>
  <c r="L488" i="1"/>
  <c r="N488" i="1" s="1"/>
  <c r="L489" i="1"/>
  <c r="L490" i="1"/>
  <c r="N490" i="1" s="1"/>
  <c r="L491" i="1"/>
  <c r="N491" i="1" s="1"/>
  <c r="L492" i="1"/>
  <c r="N492" i="1" s="1"/>
  <c r="L493" i="1"/>
  <c r="N493" i="1" s="1"/>
  <c r="L494" i="1"/>
  <c r="N494" i="1" s="1"/>
  <c r="L495" i="1"/>
  <c r="N495" i="1" s="1"/>
  <c r="L496" i="1"/>
  <c r="N496" i="1" s="1"/>
  <c r="L497" i="1"/>
  <c r="L498" i="1"/>
  <c r="L499" i="1"/>
  <c r="L500" i="1"/>
  <c r="N500" i="1" s="1"/>
  <c r="L501" i="1"/>
  <c r="N501" i="1" s="1"/>
  <c r="L302" i="1"/>
  <c r="N302" i="1" s="1"/>
  <c r="L253" i="1"/>
  <c r="L254" i="1"/>
  <c r="L255" i="1"/>
  <c r="N255" i="1" s="1"/>
  <c r="L256" i="1"/>
  <c r="L257" i="1"/>
  <c r="L258" i="1"/>
  <c r="N258" i="1" s="1"/>
  <c r="L259" i="1"/>
  <c r="N259" i="1" s="1"/>
  <c r="L260" i="1"/>
  <c r="N260" i="1" s="1"/>
  <c r="L261" i="1"/>
  <c r="N261" i="1" s="1"/>
  <c r="L262" i="1"/>
  <c r="L263" i="1"/>
  <c r="L264" i="1"/>
  <c r="L265" i="1"/>
  <c r="N265" i="1" s="1"/>
  <c r="L266" i="1"/>
  <c r="L267" i="1"/>
  <c r="N267" i="1" s="1"/>
  <c r="L268" i="1"/>
  <c r="N268" i="1" s="1"/>
  <c r="L269" i="1"/>
  <c r="N269" i="1" s="1"/>
  <c r="L270" i="1"/>
  <c r="N270" i="1" s="1"/>
  <c r="L271" i="1"/>
  <c r="L272" i="1"/>
  <c r="L273" i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L286" i="1"/>
  <c r="L287" i="1"/>
  <c r="L288" i="1"/>
  <c r="L289" i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L296" i="1"/>
  <c r="L252" i="1"/>
  <c r="L188" i="1"/>
  <c r="N188" i="1" s="1"/>
  <c r="L189" i="1"/>
  <c r="L190" i="1"/>
  <c r="N190" i="1" s="1"/>
  <c r="L191" i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L198" i="1"/>
  <c r="N198" i="1" s="1"/>
  <c r="L199" i="1"/>
  <c r="L200" i="1"/>
  <c r="N200" i="1" s="1"/>
  <c r="L201" i="1"/>
  <c r="L202" i="1"/>
  <c r="N202" i="1" s="1"/>
  <c r="L203" i="1"/>
  <c r="N203" i="1" s="1"/>
  <c r="L204" i="1"/>
  <c r="N204" i="1" s="1"/>
  <c r="L205" i="1"/>
  <c r="L206" i="1"/>
  <c r="L207" i="1"/>
  <c r="N207" i="1" s="1"/>
  <c r="L208" i="1"/>
  <c r="N208" i="1" s="1"/>
  <c r="L209" i="1"/>
  <c r="L210" i="1"/>
  <c r="N210" i="1" s="1"/>
  <c r="L211" i="1"/>
  <c r="N211" i="1" s="1"/>
  <c r="L212" i="1"/>
  <c r="L213" i="1"/>
  <c r="L214" i="1"/>
  <c r="N214" i="1" s="1"/>
  <c r="L215" i="1"/>
  <c r="N215" i="1" s="1"/>
  <c r="L216" i="1"/>
  <c r="N216" i="1" s="1"/>
  <c r="L187" i="1"/>
  <c r="N187" i="1" s="1"/>
  <c r="L88" i="1"/>
  <c r="N88" i="1" s="1"/>
  <c r="L89" i="1"/>
  <c r="N89" i="1" s="1"/>
  <c r="L90" i="1"/>
  <c r="N90" i="1" s="1"/>
  <c r="L91" i="1"/>
  <c r="L92" i="1"/>
  <c r="L93" i="1"/>
  <c r="L94" i="1"/>
  <c r="N94" i="1" s="1"/>
  <c r="L95" i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L104" i="1"/>
  <c r="N104" i="1" s="1"/>
  <c r="L105" i="1"/>
  <c r="L106" i="1"/>
  <c r="N106" i="1" s="1"/>
  <c r="L107" i="1"/>
  <c r="L108" i="1"/>
  <c r="N108" i="1" s="1"/>
  <c r="L109" i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L116" i="1"/>
  <c r="N116" i="1" s="1"/>
  <c r="L117" i="1"/>
  <c r="L118" i="1"/>
  <c r="N118" i="1" s="1"/>
  <c r="L119" i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L128" i="1"/>
  <c r="N128" i="1" s="1"/>
  <c r="L129" i="1"/>
  <c r="L130" i="1"/>
  <c r="N130" i="1" s="1"/>
  <c r="L131" i="1"/>
  <c r="L132" i="1"/>
  <c r="N132" i="1" s="1"/>
  <c r="L133" i="1"/>
  <c r="L134" i="1"/>
  <c r="N134" i="1" s="1"/>
  <c r="L135" i="1"/>
  <c r="N135" i="1" s="1"/>
  <c r="L136" i="1"/>
  <c r="L137" i="1"/>
  <c r="N137" i="1" s="1"/>
  <c r="L138" i="1"/>
  <c r="N138" i="1" s="1"/>
  <c r="L139" i="1"/>
  <c r="L140" i="1"/>
  <c r="L141" i="1"/>
  <c r="N141" i="1" s="1"/>
  <c r="L142" i="1"/>
  <c r="N142" i="1" s="1"/>
  <c r="L143" i="1"/>
  <c r="L144" i="1"/>
  <c r="N144" i="1" s="1"/>
  <c r="L145" i="1"/>
  <c r="N145" i="1" s="1"/>
  <c r="L146" i="1"/>
  <c r="N146" i="1" s="1"/>
  <c r="L87" i="1"/>
  <c r="N87" i="1" s="1"/>
  <c r="L3" i="1"/>
  <c r="N3" i="1" s="1"/>
  <c r="L4" i="1"/>
  <c r="N4" i="1" s="1"/>
  <c r="L5" i="1"/>
  <c r="N5" i="1" s="1"/>
  <c r="L6" i="1"/>
  <c r="L7" i="1"/>
  <c r="N7" i="1" s="1"/>
  <c r="L8" i="1"/>
  <c r="L9" i="1"/>
  <c r="N9" i="1" s="1"/>
  <c r="L10" i="1"/>
  <c r="L11" i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L19" i="1"/>
  <c r="N19" i="1" s="1"/>
  <c r="L20" i="1"/>
  <c r="L21" i="1"/>
  <c r="N21" i="1" s="1"/>
  <c r="L22" i="1"/>
  <c r="L23" i="1"/>
  <c r="N23" i="1" s="1"/>
  <c r="L24" i="1"/>
  <c r="L25" i="1"/>
  <c r="N25" i="1" s="1"/>
  <c r="L26" i="1"/>
  <c r="L27" i="1"/>
  <c r="N27" i="1" s="1"/>
  <c r="L28" i="1"/>
  <c r="N28" i="1" s="1"/>
  <c r="L29" i="1"/>
  <c r="N29" i="1" s="1"/>
  <c r="L30" i="1"/>
  <c r="L31" i="1"/>
  <c r="N31" i="1" s="1"/>
  <c r="L32" i="1"/>
  <c r="L33" i="1"/>
  <c r="N33" i="1" s="1"/>
  <c r="L34" i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L43" i="1"/>
  <c r="N43" i="1" s="1"/>
  <c r="L44" i="1"/>
  <c r="L45" i="1"/>
  <c r="N45" i="1" s="1"/>
  <c r="L46" i="1"/>
  <c r="J201" i="1"/>
  <c r="J196" i="1"/>
  <c r="J189" i="1"/>
  <c r="J106" i="1"/>
  <c r="J97" i="1"/>
  <c r="J8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6" i="1"/>
  <c r="N8" i="1"/>
  <c r="N10" i="1"/>
  <c r="N11" i="1"/>
  <c r="N18" i="1"/>
  <c r="N20" i="1"/>
  <c r="N22" i="1"/>
  <c r="N24" i="1"/>
  <c r="N26" i="1"/>
  <c r="N30" i="1"/>
  <c r="N32" i="1"/>
  <c r="N34" i="1"/>
  <c r="N42" i="1"/>
  <c r="N44" i="1"/>
  <c r="N46" i="1"/>
  <c r="N205" i="1"/>
  <c r="N303" i="1"/>
  <c r="N311" i="1"/>
  <c r="N313" i="1"/>
  <c r="N315" i="1"/>
  <c r="N318" i="1"/>
  <c r="N320" i="1"/>
  <c r="N321" i="1"/>
  <c r="N322" i="1"/>
  <c r="N326" i="1"/>
  <c r="N328" i="1"/>
  <c r="N330" i="1"/>
  <c r="N335" i="1"/>
  <c r="N337" i="1"/>
  <c r="N339" i="1"/>
  <c r="N399" i="1"/>
  <c r="N401" i="1"/>
  <c r="N403" i="1"/>
  <c r="N411" i="1"/>
  <c r="N415" i="1"/>
  <c r="N419" i="1"/>
  <c r="N422" i="1"/>
  <c r="N426" i="1"/>
  <c r="N435" i="1"/>
  <c r="N438" i="1"/>
  <c r="N439" i="1"/>
  <c r="N442" i="1"/>
  <c r="N487" i="1"/>
  <c r="N489" i="1"/>
  <c r="N497" i="1"/>
  <c r="N498" i="1"/>
  <c r="N499" i="1"/>
  <c r="N91" i="1"/>
  <c r="N92" i="1"/>
  <c r="N93" i="1"/>
  <c r="N95" i="1"/>
  <c r="N103" i="1"/>
  <c r="N105" i="1"/>
  <c r="N107" i="1"/>
  <c r="N109" i="1"/>
  <c r="N115" i="1"/>
  <c r="N117" i="1"/>
  <c r="N119" i="1"/>
  <c r="N127" i="1"/>
  <c r="N129" i="1"/>
  <c r="N131" i="1"/>
  <c r="N133" i="1"/>
  <c r="N136" i="1"/>
  <c r="N139" i="1"/>
  <c r="N140" i="1"/>
  <c r="N143" i="1"/>
  <c r="N189" i="1"/>
  <c r="N191" i="1"/>
  <c r="N197" i="1"/>
  <c r="N199" i="1"/>
  <c r="N201" i="1"/>
  <c r="N206" i="1"/>
  <c r="N209" i="1"/>
  <c r="N212" i="1"/>
  <c r="N213" i="1"/>
  <c r="N252" i="1"/>
  <c r="N253" i="1"/>
  <c r="N254" i="1"/>
  <c r="N256" i="1"/>
  <c r="N257" i="1"/>
  <c r="N262" i="1"/>
  <c r="N263" i="1"/>
  <c r="N264" i="1"/>
  <c r="N266" i="1"/>
  <c r="N271" i="1"/>
  <c r="N272" i="1"/>
  <c r="N273" i="1"/>
  <c r="N285" i="1"/>
  <c r="N286" i="1"/>
  <c r="N287" i="1"/>
  <c r="N288" i="1"/>
  <c r="N289" i="1"/>
  <c r="N295" i="1"/>
  <c r="N296" i="1"/>
  <c r="J44" i="1"/>
  <c r="E427" i="1" l="1"/>
  <c r="O427" i="1" s="1"/>
  <c r="D427" i="1"/>
  <c r="N427" i="1" s="1"/>
  <c r="B19" i="1"/>
  <c r="K19" i="1" s="1"/>
  <c r="P19" i="1" s="1"/>
  <c r="B20" i="1"/>
  <c r="K20" i="1" s="1"/>
  <c r="P20" i="1" s="1"/>
  <c r="B21" i="1"/>
  <c r="K21" i="1" s="1"/>
  <c r="P21" i="1" s="1"/>
  <c r="B22" i="1"/>
  <c r="K22" i="1" s="1"/>
  <c r="P22" i="1" s="1"/>
  <c r="B23" i="1"/>
  <c r="K23" i="1" s="1"/>
  <c r="P23" i="1" s="1"/>
  <c r="B24" i="1"/>
  <c r="K24" i="1" s="1"/>
  <c r="P24" i="1" s="1"/>
  <c r="B25" i="1"/>
  <c r="K25" i="1" s="1"/>
  <c r="P25" i="1" s="1"/>
  <c r="B26" i="1"/>
  <c r="K26" i="1" s="1"/>
  <c r="P26" i="1" s="1"/>
  <c r="B27" i="1"/>
  <c r="K27" i="1" s="1"/>
  <c r="P27" i="1" s="1"/>
  <c r="B28" i="1"/>
  <c r="K28" i="1" s="1"/>
  <c r="P28" i="1" s="1"/>
  <c r="B29" i="1"/>
  <c r="K29" i="1" s="1"/>
  <c r="P29" i="1" s="1"/>
  <c r="B30" i="1"/>
  <c r="K30" i="1" s="1"/>
  <c r="P30" i="1" s="1"/>
  <c r="B31" i="1"/>
  <c r="K31" i="1" s="1"/>
  <c r="P31" i="1" s="1"/>
  <c r="B32" i="1"/>
  <c r="K32" i="1" s="1"/>
  <c r="P32" i="1" s="1"/>
  <c r="B33" i="1"/>
  <c r="K33" i="1" s="1"/>
  <c r="P33" i="1" s="1"/>
  <c r="B34" i="1"/>
  <c r="K34" i="1" s="1"/>
  <c r="P34" i="1" s="1"/>
  <c r="B35" i="1"/>
  <c r="K35" i="1" s="1"/>
  <c r="P35" i="1" s="1"/>
  <c r="B36" i="1"/>
  <c r="K36" i="1" s="1"/>
  <c r="P36" i="1" s="1"/>
  <c r="B37" i="1"/>
  <c r="K37" i="1" s="1"/>
  <c r="P37" i="1" s="1"/>
  <c r="B38" i="1"/>
  <c r="K38" i="1" s="1"/>
  <c r="P38" i="1" s="1"/>
  <c r="B39" i="1"/>
  <c r="K39" i="1" s="1"/>
  <c r="P39" i="1" s="1"/>
  <c r="B40" i="1"/>
  <c r="K40" i="1" s="1"/>
  <c r="P40" i="1" s="1"/>
  <c r="B41" i="1"/>
  <c r="K41" i="1" s="1"/>
  <c r="P41" i="1" s="1"/>
  <c r="B42" i="1"/>
  <c r="K42" i="1" s="1"/>
  <c r="P42" i="1" s="1"/>
  <c r="B43" i="1"/>
  <c r="K43" i="1" s="1"/>
  <c r="P43" i="1" s="1"/>
  <c r="B44" i="1"/>
  <c r="K44" i="1" s="1"/>
  <c r="P44" i="1" s="1"/>
  <c r="B45" i="1"/>
  <c r="K45" i="1" s="1"/>
  <c r="P45" i="1" s="1"/>
  <c r="B46" i="1"/>
  <c r="K46" i="1" s="1"/>
  <c r="P46" i="1" s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K87" i="1" s="1"/>
  <c r="P87" i="1" s="1"/>
  <c r="B88" i="1"/>
  <c r="K88" i="1" s="1"/>
  <c r="P88" i="1" s="1"/>
  <c r="B89" i="1"/>
  <c r="K89" i="1" s="1"/>
  <c r="P89" i="1" s="1"/>
  <c r="B90" i="1"/>
  <c r="K90" i="1" s="1"/>
  <c r="P90" i="1" s="1"/>
  <c r="B91" i="1"/>
  <c r="K91" i="1" s="1"/>
  <c r="P91" i="1" s="1"/>
  <c r="B92" i="1"/>
  <c r="K92" i="1" s="1"/>
  <c r="P92" i="1" s="1"/>
  <c r="B93" i="1"/>
  <c r="K93" i="1" s="1"/>
  <c r="P93" i="1" s="1"/>
  <c r="B94" i="1"/>
  <c r="K94" i="1" s="1"/>
  <c r="P94" i="1" s="1"/>
  <c r="B95" i="1"/>
  <c r="K95" i="1" s="1"/>
  <c r="P95" i="1" s="1"/>
  <c r="B96" i="1"/>
  <c r="K96" i="1" s="1"/>
  <c r="P96" i="1" s="1"/>
  <c r="B97" i="1"/>
  <c r="K97" i="1" s="1"/>
  <c r="P97" i="1" s="1"/>
  <c r="B98" i="1"/>
  <c r="K98" i="1" s="1"/>
  <c r="P98" i="1" s="1"/>
  <c r="B99" i="1"/>
  <c r="K99" i="1" s="1"/>
  <c r="P99" i="1" s="1"/>
  <c r="B100" i="1"/>
  <c r="K100" i="1" s="1"/>
  <c r="P100" i="1" s="1"/>
  <c r="B101" i="1"/>
  <c r="K101" i="1" s="1"/>
  <c r="P101" i="1" s="1"/>
  <c r="B102" i="1"/>
  <c r="K102" i="1" s="1"/>
  <c r="P102" i="1" s="1"/>
  <c r="B103" i="1"/>
  <c r="K103" i="1" s="1"/>
  <c r="P103" i="1" s="1"/>
  <c r="B104" i="1"/>
  <c r="K104" i="1" s="1"/>
  <c r="P104" i="1" s="1"/>
  <c r="B105" i="1"/>
  <c r="K105" i="1" s="1"/>
  <c r="P105" i="1" s="1"/>
  <c r="B106" i="1"/>
  <c r="K106" i="1" s="1"/>
  <c r="P106" i="1" s="1"/>
  <c r="B107" i="1"/>
  <c r="K107" i="1" s="1"/>
  <c r="P107" i="1" s="1"/>
  <c r="B108" i="1"/>
  <c r="K108" i="1" s="1"/>
  <c r="P108" i="1" s="1"/>
  <c r="B109" i="1"/>
  <c r="K109" i="1" s="1"/>
  <c r="P109" i="1" s="1"/>
  <c r="B110" i="1"/>
  <c r="K110" i="1" s="1"/>
  <c r="P110" i="1" s="1"/>
  <c r="B111" i="1"/>
  <c r="K111" i="1" s="1"/>
  <c r="P111" i="1" s="1"/>
  <c r="B112" i="1"/>
  <c r="K112" i="1" s="1"/>
  <c r="P112" i="1" s="1"/>
  <c r="B113" i="1"/>
  <c r="K113" i="1" s="1"/>
  <c r="P113" i="1" s="1"/>
  <c r="B114" i="1"/>
  <c r="K114" i="1" s="1"/>
  <c r="P114" i="1" s="1"/>
  <c r="B115" i="1"/>
  <c r="K115" i="1" s="1"/>
  <c r="P115" i="1" s="1"/>
  <c r="B116" i="1"/>
  <c r="K116" i="1" s="1"/>
  <c r="P116" i="1" s="1"/>
  <c r="B117" i="1"/>
  <c r="K117" i="1" s="1"/>
  <c r="P117" i="1" s="1"/>
  <c r="B118" i="1"/>
  <c r="K118" i="1" s="1"/>
  <c r="P118" i="1" s="1"/>
  <c r="B119" i="1"/>
  <c r="K119" i="1" s="1"/>
  <c r="P119" i="1" s="1"/>
  <c r="B120" i="1"/>
  <c r="K120" i="1" s="1"/>
  <c r="P120" i="1" s="1"/>
  <c r="B121" i="1"/>
  <c r="K121" i="1" s="1"/>
  <c r="P121" i="1" s="1"/>
  <c r="B122" i="1"/>
  <c r="K122" i="1" s="1"/>
  <c r="P122" i="1" s="1"/>
  <c r="B123" i="1"/>
  <c r="K123" i="1" s="1"/>
  <c r="P123" i="1" s="1"/>
  <c r="B124" i="1"/>
  <c r="K124" i="1" s="1"/>
  <c r="P124" i="1" s="1"/>
  <c r="B125" i="1"/>
  <c r="K125" i="1" s="1"/>
  <c r="P125" i="1" s="1"/>
  <c r="B126" i="1"/>
  <c r="K126" i="1" s="1"/>
  <c r="P126" i="1" s="1"/>
  <c r="B127" i="1"/>
  <c r="K127" i="1" s="1"/>
  <c r="P127" i="1" s="1"/>
  <c r="B128" i="1"/>
  <c r="K128" i="1" s="1"/>
  <c r="P128" i="1" s="1"/>
  <c r="B129" i="1"/>
  <c r="K129" i="1" s="1"/>
  <c r="P129" i="1" s="1"/>
  <c r="B130" i="1"/>
  <c r="K130" i="1" s="1"/>
  <c r="P130" i="1" s="1"/>
  <c r="B131" i="1"/>
  <c r="K131" i="1" s="1"/>
  <c r="P131" i="1" s="1"/>
  <c r="B132" i="1"/>
  <c r="K132" i="1" s="1"/>
  <c r="P132" i="1" s="1"/>
  <c r="B133" i="1"/>
  <c r="K133" i="1" s="1"/>
  <c r="P133" i="1" s="1"/>
  <c r="B134" i="1"/>
  <c r="K134" i="1" s="1"/>
  <c r="P134" i="1" s="1"/>
  <c r="B135" i="1"/>
  <c r="K135" i="1" s="1"/>
  <c r="P135" i="1" s="1"/>
  <c r="B136" i="1"/>
  <c r="K136" i="1" s="1"/>
  <c r="P136" i="1" s="1"/>
  <c r="B137" i="1"/>
  <c r="K137" i="1" s="1"/>
  <c r="P137" i="1" s="1"/>
  <c r="B138" i="1"/>
  <c r="K138" i="1" s="1"/>
  <c r="P138" i="1" s="1"/>
  <c r="B139" i="1"/>
  <c r="K139" i="1" s="1"/>
  <c r="P139" i="1" s="1"/>
  <c r="B140" i="1"/>
  <c r="K140" i="1" s="1"/>
  <c r="P140" i="1" s="1"/>
  <c r="B141" i="1"/>
  <c r="K141" i="1" s="1"/>
  <c r="P141" i="1" s="1"/>
  <c r="B142" i="1"/>
  <c r="K142" i="1" s="1"/>
  <c r="P142" i="1" s="1"/>
  <c r="B143" i="1"/>
  <c r="K143" i="1" s="1"/>
  <c r="P143" i="1" s="1"/>
  <c r="B144" i="1"/>
  <c r="K144" i="1" s="1"/>
  <c r="P144" i="1" s="1"/>
  <c r="B145" i="1"/>
  <c r="K145" i="1" s="1"/>
  <c r="P145" i="1" s="1"/>
  <c r="B146" i="1"/>
  <c r="K146" i="1" s="1"/>
  <c r="P146" i="1" s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K187" i="1" s="1"/>
  <c r="P187" i="1" s="1"/>
  <c r="B188" i="1"/>
  <c r="K188" i="1" s="1"/>
  <c r="P188" i="1" s="1"/>
  <c r="B189" i="1"/>
  <c r="K189" i="1" s="1"/>
  <c r="P189" i="1" s="1"/>
  <c r="B190" i="1"/>
  <c r="K190" i="1" s="1"/>
  <c r="P190" i="1" s="1"/>
  <c r="B191" i="1"/>
  <c r="K191" i="1" s="1"/>
  <c r="P191" i="1" s="1"/>
  <c r="B192" i="1"/>
  <c r="K192" i="1" s="1"/>
  <c r="P192" i="1" s="1"/>
  <c r="B193" i="1"/>
  <c r="K193" i="1" s="1"/>
  <c r="P193" i="1" s="1"/>
  <c r="B194" i="1"/>
  <c r="K194" i="1" s="1"/>
  <c r="P194" i="1" s="1"/>
  <c r="B195" i="1"/>
  <c r="K195" i="1" s="1"/>
  <c r="P195" i="1" s="1"/>
  <c r="B196" i="1"/>
  <c r="K196" i="1" s="1"/>
  <c r="P196" i="1" s="1"/>
  <c r="B197" i="1"/>
  <c r="K197" i="1" s="1"/>
  <c r="P197" i="1" s="1"/>
  <c r="B198" i="1"/>
  <c r="K198" i="1" s="1"/>
  <c r="P198" i="1" s="1"/>
  <c r="B199" i="1"/>
  <c r="K199" i="1" s="1"/>
  <c r="P199" i="1" s="1"/>
  <c r="B200" i="1"/>
  <c r="K200" i="1" s="1"/>
  <c r="P200" i="1" s="1"/>
  <c r="B201" i="1"/>
  <c r="K201" i="1" s="1"/>
  <c r="P201" i="1" s="1"/>
  <c r="B202" i="1"/>
  <c r="K202" i="1" s="1"/>
  <c r="P202" i="1" s="1"/>
  <c r="B203" i="1"/>
  <c r="K203" i="1" s="1"/>
  <c r="P203" i="1" s="1"/>
  <c r="B204" i="1"/>
  <c r="K204" i="1" s="1"/>
  <c r="P204" i="1" s="1"/>
  <c r="B205" i="1"/>
  <c r="K205" i="1" s="1"/>
  <c r="P205" i="1" s="1"/>
  <c r="B206" i="1"/>
  <c r="K206" i="1" s="1"/>
  <c r="P206" i="1" s="1"/>
  <c r="B207" i="1"/>
  <c r="K207" i="1" s="1"/>
  <c r="P207" i="1" s="1"/>
  <c r="B208" i="1"/>
  <c r="K208" i="1" s="1"/>
  <c r="P208" i="1" s="1"/>
  <c r="B209" i="1"/>
  <c r="K209" i="1" s="1"/>
  <c r="P209" i="1" s="1"/>
  <c r="B210" i="1"/>
  <c r="K210" i="1" s="1"/>
  <c r="P210" i="1" s="1"/>
  <c r="B211" i="1"/>
  <c r="K211" i="1" s="1"/>
  <c r="P211" i="1" s="1"/>
  <c r="B212" i="1"/>
  <c r="K212" i="1" s="1"/>
  <c r="P212" i="1" s="1"/>
  <c r="B213" i="1"/>
  <c r="K213" i="1" s="1"/>
  <c r="P213" i="1" s="1"/>
  <c r="B214" i="1"/>
  <c r="K214" i="1" s="1"/>
  <c r="P214" i="1" s="1"/>
  <c r="B215" i="1"/>
  <c r="K215" i="1" s="1"/>
  <c r="P215" i="1" s="1"/>
  <c r="B216" i="1"/>
  <c r="K216" i="1" s="1"/>
  <c r="P216" i="1" s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K252" i="1" s="1"/>
  <c r="P252" i="1" s="1"/>
  <c r="B253" i="1"/>
  <c r="K253" i="1" s="1"/>
  <c r="P253" i="1" s="1"/>
  <c r="B254" i="1"/>
  <c r="K254" i="1" s="1"/>
  <c r="P254" i="1" s="1"/>
  <c r="B255" i="1"/>
  <c r="K255" i="1" s="1"/>
  <c r="P255" i="1" s="1"/>
  <c r="B256" i="1"/>
  <c r="K256" i="1" s="1"/>
  <c r="P256" i="1" s="1"/>
  <c r="B257" i="1"/>
  <c r="K257" i="1" s="1"/>
  <c r="P257" i="1" s="1"/>
  <c r="B258" i="1"/>
  <c r="K258" i="1" s="1"/>
  <c r="P258" i="1" s="1"/>
  <c r="B259" i="1"/>
  <c r="K259" i="1" s="1"/>
  <c r="P259" i="1" s="1"/>
  <c r="B260" i="1"/>
  <c r="K260" i="1" s="1"/>
  <c r="P260" i="1" s="1"/>
  <c r="B261" i="1"/>
  <c r="K261" i="1" s="1"/>
  <c r="P261" i="1" s="1"/>
  <c r="B262" i="1"/>
  <c r="K262" i="1" s="1"/>
  <c r="P262" i="1" s="1"/>
  <c r="B263" i="1"/>
  <c r="K263" i="1" s="1"/>
  <c r="P263" i="1" s="1"/>
  <c r="B264" i="1"/>
  <c r="K264" i="1" s="1"/>
  <c r="P264" i="1" s="1"/>
  <c r="B265" i="1"/>
  <c r="K265" i="1" s="1"/>
  <c r="P265" i="1" s="1"/>
  <c r="B266" i="1"/>
  <c r="K266" i="1" s="1"/>
  <c r="P266" i="1" s="1"/>
  <c r="B267" i="1"/>
  <c r="K267" i="1" s="1"/>
  <c r="P267" i="1" s="1"/>
  <c r="B268" i="1"/>
  <c r="K268" i="1" s="1"/>
  <c r="P268" i="1" s="1"/>
  <c r="B269" i="1"/>
  <c r="K269" i="1" s="1"/>
  <c r="P269" i="1" s="1"/>
  <c r="B270" i="1"/>
  <c r="K270" i="1" s="1"/>
  <c r="P270" i="1" s="1"/>
  <c r="B271" i="1"/>
  <c r="K271" i="1" s="1"/>
  <c r="P271" i="1" s="1"/>
  <c r="B272" i="1"/>
  <c r="K272" i="1" s="1"/>
  <c r="P272" i="1" s="1"/>
  <c r="B273" i="1"/>
  <c r="K273" i="1" s="1"/>
  <c r="P273" i="1" s="1"/>
  <c r="B274" i="1"/>
  <c r="K274" i="1" s="1"/>
  <c r="P274" i="1" s="1"/>
  <c r="B275" i="1"/>
  <c r="K275" i="1" s="1"/>
  <c r="P275" i="1" s="1"/>
  <c r="B276" i="1"/>
  <c r="K276" i="1" s="1"/>
  <c r="P276" i="1" s="1"/>
  <c r="B277" i="1"/>
  <c r="K277" i="1" s="1"/>
  <c r="P277" i="1" s="1"/>
  <c r="B278" i="1"/>
  <c r="K278" i="1" s="1"/>
  <c r="P278" i="1" s="1"/>
  <c r="B279" i="1"/>
  <c r="K279" i="1" s="1"/>
  <c r="P279" i="1" s="1"/>
  <c r="B280" i="1"/>
  <c r="K280" i="1" s="1"/>
  <c r="P280" i="1" s="1"/>
  <c r="B281" i="1"/>
  <c r="K281" i="1" s="1"/>
  <c r="P281" i="1" s="1"/>
  <c r="B282" i="1"/>
  <c r="K282" i="1" s="1"/>
  <c r="P282" i="1" s="1"/>
  <c r="B283" i="1"/>
  <c r="K283" i="1" s="1"/>
  <c r="P283" i="1" s="1"/>
  <c r="B284" i="1"/>
  <c r="K284" i="1" s="1"/>
  <c r="P284" i="1" s="1"/>
  <c r="B285" i="1"/>
  <c r="K285" i="1" s="1"/>
  <c r="P285" i="1" s="1"/>
  <c r="B286" i="1"/>
  <c r="K286" i="1" s="1"/>
  <c r="P286" i="1" s="1"/>
  <c r="B287" i="1"/>
  <c r="K287" i="1" s="1"/>
  <c r="P287" i="1" s="1"/>
  <c r="B288" i="1"/>
  <c r="K288" i="1" s="1"/>
  <c r="P288" i="1" s="1"/>
  <c r="B289" i="1"/>
  <c r="K289" i="1" s="1"/>
  <c r="P289" i="1" s="1"/>
  <c r="B290" i="1"/>
  <c r="K290" i="1" s="1"/>
  <c r="P290" i="1" s="1"/>
  <c r="B291" i="1"/>
  <c r="K291" i="1" s="1"/>
  <c r="P291" i="1" s="1"/>
  <c r="B292" i="1"/>
  <c r="K292" i="1" s="1"/>
  <c r="P292" i="1" s="1"/>
  <c r="B293" i="1"/>
  <c r="K293" i="1" s="1"/>
  <c r="P293" i="1" s="1"/>
  <c r="B294" i="1"/>
  <c r="K294" i="1" s="1"/>
  <c r="P294" i="1" s="1"/>
  <c r="B295" i="1"/>
  <c r="K295" i="1" s="1"/>
  <c r="P295" i="1" s="1"/>
  <c r="B296" i="1"/>
  <c r="K296" i="1" s="1"/>
  <c r="P296" i="1" s="1"/>
  <c r="B297" i="1"/>
  <c r="B298" i="1"/>
  <c r="B299" i="1"/>
  <c r="B300" i="1"/>
  <c r="B301" i="1"/>
  <c r="B302" i="1"/>
  <c r="K302" i="1" s="1"/>
  <c r="P302" i="1" s="1"/>
  <c r="B303" i="1"/>
  <c r="K303" i="1" s="1"/>
  <c r="P303" i="1" s="1"/>
  <c r="B304" i="1"/>
  <c r="K304" i="1" s="1"/>
  <c r="P304" i="1" s="1"/>
  <c r="B305" i="1"/>
  <c r="K305" i="1" s="1"/>
  <c r="P305" i="1" s="1"/>
  <c r="B306" i="1"/>
  <c r="K306" i="1" s="1"/>
  <c r="P306" i="1" s="1"/>
  <c r="B307" i="1"/>
  <c r="K307" i="1" s="1"/>
  <c r="P307" i="1" s="1"/>
  <c r="B308" i="1"/>
  <c r="K308" i="1" s="1"/>
  <c r="P308" i="1" s="1"/>
  <c r="B309" i="1"/>
  <c r="K309" i="1" s="1"/>
  <c r="P309" i="1" s="1"/>
  <c r="B310" i="1"/>
  <c r="K310" i="1" s="1"/>
  <c r="P310" i="1" s="1"/>
  <c r="B311" i="1"/>
  <c r="K311" i="1" s="1"/>
  <c r="P311" i="1" s="1"/>
  <c r="B312" i="1"/>
  <c r="K312" i="1" s="1"/>
  <c r="P312" i="1" s="1"/>
  <c r="B313" i="1"/>
  <c r="K313" i="1" s="1"/>
  <c r="P313" i="1" s="1"/>
  <c r="B314" i="1"/>
  <c r="K314" i="1" s="1"/>
  <c r="P314" i="1" s="1"/>
  <c r="B315" i="1"/>
  <c r="K315" i="1" s="1"/>
  <c r="P315" i="1" s="1"/>
  <c r="B316" i="1"/>
  <c r="K316" i="1" s="1"/>
  <c r="P316" i="1" s="1"/>
  <c r="B317" i="1"/>
  <c r="K317" i="1" s="1"/>
  <c r="P317" i="1" s="1"/>
  <c r="B318" i="1"/>
  <c r="K318" i="1" s="1"/>
  <c r="P318" i="1" s="1"/>
  <c r="B319" i="1"/>
  <c r="K319" i="1" s="1"/>
  <c r="P319" i="1" s="1"/>
  <c r="B320" i="1"/>
  <c r="K320" i="1" s="1"/>
  <c r="P320" i="1" s="1"/>
  <c r="B321" i="1"/>
  <c r="K321" i="1" s="1"/>
  <c r="P321" i="1" s="1"/>
  <c r="B322" i="1"/>
  <c r="K322" i="1" s="1"/>
  <c r="P322" i="1" s="1"/>
  <c r="B323" i="1"/>
  <c r="K323" i="1" s="1"/>
  <c r="P323" i="1" s="1"/>
  <c r="B324" i="1"/>
  <c r="K324" i="1" s="1"/>
  <c r="P324" i="1" s="1"/>
  <c r="B325" i="1"/>
  <c r="K325" i="1" s="1"/>
  <c r="P325" i="1" s="1"/>
  <c r="B326" i="1"/>
  <c r="K326" i="1" s="1"/>
  <c r="P326" i="1" s="1"/>
  <c r="B327" i="1"/>
  <c r="K327" i="1" s="1"/>
  <c r="P327" i="1" s="1"/>
  <c r="B328" i="1"/>
  <c r="K328" i="1" s="1"/>
  <c r="P328" i="1" s="1"/>
  <c r="B329" i="1"/>
  <c r="K329" i="1" s="1"/>
  <c r="P329" i="1" s="1"/>
  <c r="B330" i="1"/>
  <c r="K330" i="1" s="1"/>
  <c r="P330" i="1" s="1"/>
  <c r="B331" i="1"/>
  <c r="K331" i="1" s="1"/>
  <c r="P331" i="1" s="1"/>
  <c r="B332" i="1"/>
  <c r="K332" i="1" s="1"/>
  <c r="P332" i="1" s="1"/>
  <c r="B333" i="1"/>
  <c r="K333" i="1" s="1"/>
  <c r="P333" i="1" s="1"/>
  <c r="B334" i="1"/>
  <c r="K334" i="1" s="1"/>
  <c r="P334" i="1" s="1"/>
  <c r="B335" i="1"/>
  <c r="K335" i="1" s="1"/>
  <c r="P335" i="1" s="1"/>
  <c r="B336" i="1"/>
  <c r="K336" i="1" s="1"/>
  <c r="P336" i="1" s="1"/>
  <c r="B337" i="1"/>
  <c r="K337" i="1" s="1"/>
  <c r="P337" i="1" s="1"/>
  <c r="B338" i="1"/>
  <c r="K338" i="1" s="1"/>
  <c r="P338" i="1" s="1"/>
  <c r="B339" i="1"/>
  <c r="K339" i="1" s="1"/>
  <c r="P339" i="1" s="1"/>
  <c r="B340" i="1"/>
  <c r="K340" i="1" s="1"/>
  <c r="P340" i="1" s="1"/>
  <c r="B341" i="1"/>
  <c r="K341" i="1" s="1"/>
  <c r="P341" i="1" s="1"/>
  <c r="B342" i="1"/>
  <c r="K342" i="1" s="1"/>
  <c r="P342" i="1" s="1"/>
  <c r="B343" i="1"/>
  <c r="K343" i="1" s="1"/>
  <c r="P343" i="1" s="1"/>
  <c r="B344" i="1"/>
  <c r="K344" i="1" s="1"/>
  <c r="P344" i="1" s="1"/>
  <c r="B345" i="1"/>
  <c r="K345" i="1" s="1"/>
  <c r="P345" i="1" s="1"/>
  <c r="B346" i="1"/>
  <c r="K346" i="1" s="1"/>
  <c r="P346" i="1" s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K387" i="1" s="1"/>
  <c r="P387" i="1" s="1"/>
  <c r="B388" i="1"/>
  <c r="K388" i="1" s="1"/>
  <c r="P388" i="1" s="1"/>
  <c r="B389" i="1"/>
  <c r="K389" i="1" s="1"/>
  <c r="P389" i="1" s="1"/>
  <c r="B390" i="1"/>
  <c r="K390" i="1" s="1"/>
  <c r="P390" i="1" s="1"/>
  <c r="B391" i="1"/>
  <c r="K391" i="1" s="1"/>
  <c r="P391" i="1" s="1"/>
  <c r="B392" i="1"/>
  <c r="K392" i="1" s="1"/>
  <c r="P392" i="1" s="1"/>
  <c r="B393" i="1"/>
  <c r="K393" i="1" s="1"/>
  <c r="P393" i="1" s="1"/>
  <c r="B394" i="1"/>
  <c r="K394" i="1" s="1"/>
  <c r="P394" i="1" s="1"/>
  <c r="B395" i="1"/>
  <c r="K395" i="1" s="1"/>
  <c r="P395" i="1" s="1"/>
  <c r="B396" i="1"/>
  <c r="K396" i="1" s="1"/>
  <c r="P396" i="1" s="1"/>
  <c r="B397" i="1"/>
  <c r="K397" i="1" s="1"/>
  <c r="P397" i="1" s="1"/>
  <c r="B398" i="1"/>
  <c r="K398" i="1" s="1"/>
  <c r="P398" i="1" s="1"/>
  <c r="B399" i="1"/>
  <c r="K399" i="1" s="1"/>
  <c r="P399" i="1" s="1"/>
  <c r="B400" i="1"/>
  <c r="K400" i="1" s="1"/>
  <c r="P400" i="1" s="1"/>
  <c r="B401" i="1"/>
  <c r="K401" i="1" s="1"/>
  <c r="P401" i="1" s="1"/>
  <c r="B402" i="1"/>
  <c r="K402" i="1" s="1"/>
  <c r="P402" i="1" s="1"/>
  <c r="B403" i="1"/>
  <c r="K403" i="1" s="1"/>
  <c r="P403" i="1" s="1"/>
  <c r="B404" i="1"/>
  <c r="K404" i="1" s="1"/>
  <c r="P404" i="1" s="1"/>
  <c r="B405" i="1"/>
  <c r="K405" i="1" s="1"/>
  <c r="P405" i="1" s="1"/>
  <c r="B406" i="1"/>
  <c r="K406" i="1" s="1"/>
  <c r="P406" i="1" s="1"/>
  <c r="B407" i="1"/>
  <c r="K407" i="1" s="1"/>
  <c r="P407" i="1" s="1"/>
  <c r="B408" i="1"/>
  <c r="K408" i="1" s="1"/>
  <c r="P408" i="1" s="1"/>
  <c r="B409" i="1"/>
  <c r="K409" i="1" s="1"/>
  <c r="P409" i="1" s="1"/>
  <c r="B410" i="1"/>
  <c r="K410" i="1" s="1"/>
  <c r="P410" i="1" s="1"/>
  <c r="B411" i="1"/>
  <c r="K411" i="1" s="1"/>
  <c r="P411" i="1" s="1"/>
  <c r="B412" i="1"/>
  <c r="K412" i="1" s="1"/>
  <c r="P412" i="1" s="1"/>
  <c r="B413" i="1"/>
  <c r="K413" i="1" s="1"/>
  <c r="P413" i="1" s="1"/>
  <c r="B414" i="1"/>
  <c r="K414" i="1" s="1"/>
  <c r="P414" i="1" s="1"/>
  <c r="B415" i="1"/>
  <c r="K415" i="1" s="1"/>
  <c r="P415" i="1" s="1"/>
  <c r="B416" i="1"/>
  <c r="K416" i="1" s="1"/>
  <c r="P416" i="1" s="1"/>
  <c r="B417" i="1"/>
  <c r="K417" i="1" s="1"/>
  <c r="P417" i="1" s="1"/>
  <c r="B418" i="1"/>
  <c r="K418" i="1" s="1"/>
  <c r="P418" i="1" s="1"/>
  <c r="B419" i="1"/>
  <c r="K419" i="1" s="1"/>
  <c r="P419" i="1" s="1"/>
  <c r="B420" i="1"/>
  <c r="K420" i="1" s="1"/>
  <c r="P420" i="1" s="1"/>
  <c r="B421" i="1"/>
  <c r="K421" i="1" s="1"/>
  <c r="P421" i="1" s="1"/>
  <c r="B422" i="1"/>
  <c r="K422" i="1" s="1"/>
  <c r="P422" i="1" s="1"/>
  <c r="B423" i="1"/>
  <c r="K423" i="1" s="1"/>
  <c r="P423" i="1" s="1"/>
  <c r="B424" i="1"/>
  <c r="K424" i="1" s="1"/>
  <c r="P424" i="1" s="1"/>
  <c r="B425" i="1"/>
  <c r="K425" i="1" s="1"/>
  <c r="P425" i="1" s="1"/>
  <c r="B426" i="1"/>
  <c r="K426" i="1" s="1"/>
  <c r="P426" i="1" s="1"/>
  <c r="B427" i="1"/>
  <c r="K427" i="1" s="1"/>
  <c r="P427" i="1" s="1"/>
  <c r="B428" i="1"/>
  <c r="K428" i="1" s="1"/>
  <c r="P428" i="1" s="1"/>
  <c r="B429" i="1"/>
  <c r="K429" i="1" s="1"/>
  <c r="P429" i="1" s="1"/>
  <c r="B430" i="1"/>
  <c r="K430" i="1" s="1"/>
  <c r="P430" i="1" s="1"/>
  <c r="B431" i="1"/>
  <c r="K431" i="1" s="1"/>
  <c r="P431" i="1" s="1"/>
  <c r="B432" i="1"/>
  <c r="K432" i="1" s="1"/>
  <c r="P432" i="1" s="1"/>
  <c r="B433" i="1"/>
  <c r="K433" i="1" s="1"/>
  <c r="P433" i="1" s="1"/>
  <c r="B434" i="1"/>
  <c r="K434" i="1" s="1"/>
  <c r="P434" i="1" s="1"/>
  <c r="B435" i="1"/>
  <c r="K435" i="1" s="1"/>
  <c r="P435" i="1" s="1"/>
  <c r="B436" i="1"/>
  <c r="K436" i="1" s="1"/>
  <c r="P436" i="1" s="1"/>
  <c r="B437" i="1"/>
  <c r="K437" i="1" s="1"/>
  <c r="P437" i="1" s="1"/>
  <c r="B438" i="1"/>
  <c r="K438" i="1" s="1"/>
  <c r="P438" i="1" s="1"/>
  <c r="B439" i="1"/>
  <c r="K439" i="1" s="1"/>
  <c r="P439" i="1" s="1"/>
  <c r="B440" i="1"/>
  <c r="K440" i="1" s="1"/>
  <c r="P440" i="1" s="1"/>
  <c r="B441" i="1"/>
  <c r="K441" i="1" s="1"/>
  <c r="P441" i="1" s="1"/>
  <c r="B442" i="1"/>
  <c r="K442" i="1" s="1"/>
  <c r="P442" i="1" s="1"/>
  <c r="B443" i="1"/>
  <c r="K443" i="1" s="1"/>
  <c r="P443" i="1" s="1"/>
  <c r="B444" i="1"/>
  <c r="K444" i="1" s="1"/>
  <c r="P444" i="1" s="1"/>
  <c r="B445" i="1"/>
  <c r="K445" i="1" s="1"/>
  <c r="P445" i="1" s="1"/>
  <c r="B446" i="1"/>
  <c r="K446" i="1" s="1"/>
  <c r="P446" i="1" s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K487" i="1" s="1"/>
  <c r="P487" i="1" s="1"/>
  <c r="B488" i="1"/>
  <c r="K488" i="1" s="1"/>
  <c r="P488" i="1" s="1"/>
  <c r="B489" i="1"/>
  <c r="K489" i="1" s="1"/>
  <c r="P489" i="1" s="1"/>
  <c r="B490" i="1"/>
  <c r="K490" i="1" s="1"/>
  <c r="P490" i="1" s="1"/>
  <c r="B491" i="1"/>
  <c r="K491" i="1" s="1"/>
  <c r="P491" i="1" s="1"/>
  <c r="B492" i="1"/>
  <c r="K492" i="1" s="1"/>
  <c r="P492" i="1" s="1"/>
  <c r="B493" i="1"/>
  <c r="K493" i="1" s="1"/>
  <c r="P493" i="1" s="1"/>
  <c r="B494" i="1"/>
  <c r="K494" i="1" s="1"/>
  <c r="P494" i="1" s="1"/>
  <c r="B495" i="1"/>
  <c r="K495" i="1" s="1"/>
  <c r="P495" i="1" s="1"/>
  <c r="B496" i="1"/>
  <c r="K496" i="1" s="1"/>
  <c r="P496" i="1" s="1"/>
  <c r="B497" i="1"/>
  <c r="K497" i="1" s="1"/>
  <c r="P497" i="1" s="1"/>
  <c r="B498" i="1"/>
  <c r="K498" i="1" s="1"/>
  <c r="P498" i="1" s="1"/>
  <c r="B499" i="1"/>
  <c r="K499" i="1" s="1"/>
  <c r="P499" i="1" s="1"/>
  <c r="B500" i="1"/>
  <c r="K500" i="1" s="1"/>
  <c r="P500" i="1" s="1"/>
  <c r="B501" i="1"/>
  <c r="K501" i="1" s="1"/>
  <c r="P501" i="1" s="1"/>
  <c r="B7" i="1"/>
  <c r="K7" i="1" s="1"/>
  <c r="P7" i="1" s="1"/>
  <c r="B8" i="1"/>
  <c r="K8" i="1" s="1"/>
  <c r="P8" i="1" s="1"/>
  <c r="B9" i="1"/>
  <c r="K9" i="1" s="1"/>
  <c r="P9" i="1" s="1"/>
  <c r="B10" i="1"/>
  <c r="K10" i="1" s="1"/>
  <c r="P10" i="1" s="1"/>
  <c r="B11" i="1"/>
  <c r="K11" i="1" s="1"/>
  <c r="P11" i="1" s="1"/>
  <c r="B12" i="1"/>
  <c r="K12" i="1" s="1"/>
  <c r="P12" i="1" s="1"/>
  <c r="B13" i="1"/>
  <c r="K13" i="1" s="1"/>
  <c r="P13" i="1" s="1"/>
  <c r="B14" i="1"/>
  <c r="K14" i="1" s="1"/>
  <c r="P14" i="1" s="1"/>
  <c r="B15" i="1"/>
  <c r="K15" i="1" s="1"/>
  <c r="P15" i="1" s="1"/>
  <c r="B16" i="1"/>
  <c r="K16" i="1" s="1"/>
  <c r="P16" i="1" s="1"/>
  <c r="B17" i="1"/>
  <c r="K17" i="1" s="1"/>
  <c r="P17" i="1" s="1"/>
  <c r="B18" i="1"/>
  <c r="K18" i="1" s="1"/>
  <c r="P18" i="1" s="1"/>
  <c r="B3" i="1"/>
  <c r="K3" i="1" s="1"/>
  <c r="P3" i="1" s="1"/>
  <c r="B4" i="1"/>
  <c r="K4" i="1" s="1"/>
  <c r="P4" i="1" s="1"/>
  <c r="B5" i="1"/>
  <c r="K5" i="1" s="1"/>
  <c r="P5" i="1" s="1"/>
  <c r="B6" i="1"/>
  <c r="K6" i="1" s="1"/>
  <c r="P6" i="1" s="1"/>
  <c r="B2" i="1"/>
  <c r="K2" i="1" s="1"/>
  <c r="P2" i="1" s="1"/>
</calcChain>
</file>

<file path=xl/sharedStrings.xml><?xml version="1.0" encoding="utf-8"?>
<sst xmlns="http://schemas.openxmlformats.org/spreadsheetml/2006/main" count="16" uniqueCount="16">
  <si>
    <t>bid</t>
    <phoneticPr fontId="1" type="noConversion"/>
  </si>
  <si>
    <t>guessbid</t>
    <phoneticPr fontId="1" type="noConversion"/>
  </si>
  <si>
    <t>guesscost</t>
    <phoneticPr fontId="1" type="noConversion"/>
  </si>
  <si>
    <t>randomID</t>
    <phoneticPr fontId="1" type="noConversion"/>
  </si>
  <si>
    <t>profit</t>
    <phoneticPr fontId="1" type="noConversion"/>
  </si>
  <si>
    <t>provided</t>
    <phoneticPr fontId="1" type="noConversion"/>
  </si>
  <si>
    <t>endowment</t>
    <phoneticPr fontId="1" type="noConversion"/>
  </si>
  <si>
    <t>others bid</t>
    <phoneticPr fontId="1" type="noConversion"/>
  </si>
  <si>
    <t>gpsize</t>
  </si>
  <si>
    <t>prf_total</t>
  </si>
  <si>
    <t>bonus_gsbid</t>
  </si>
  <si>
    <t>bonus_gscost</t>
  </si>
  <si>
    <t>idnumber</t>
  </si>
  <si>
    <t>payoff</t>
  </si>
  <si>
    <t>sumofbid</t>
  </si>
  <si>
    <t>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</si>
</sst>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164" fontId="0" fillId="2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501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/>
  <cols>
    <col min="1" max="2" width="9" style="1"/>
    <col min="8" max="9" width="9" style="3"/>
    <col min="13" max="13" width="17.7109375" customWidth="1"/>
    <col min="14" max="14" width="18.140625" customWidth="1"/>
    <col min="15" max="15" width="22.140625" customWidth="1"/>
    <col min="16" max="16" width="9" style="4"/>
  </cols>
  <sheetData>
    <row r="1" spans="1:16">
      <c r="A1" s="1" t="s">
        <v>12</v>
      </c>
      <c r="B1" s="1" t="s">
        <v>13</v>
      </c>
      <c r="C1" t="s">
        <v>0</v>
      </c>
      <c r="D1" t="s">
        <v>1</v>
      </c>
      <c r="E1" t="s">
        <v>2</v>
      </c>
      <c r="F1" s="3" t="s">
        <v>3</v>
      </c>
      <c r="G1" s="3" t="s">
        <v>14</v>
      </c>
      <c r="H1" s="3" t="s">
        <v>5</v>
      </c>
      <c r="I1" s="3" t="s">
        <v>6</v>
      </c>
      <c r="J1" s="3" t="s">
        <v>15</v>
      </c>
      <c r="K1" t="s">
        <v>4</v>
      </c>
      <c r="L1" t="s">
        <v>7</v>
      </c>
      <c r="M1" s="3" t="s">
        <v>8</v>
      </c>
      <c r="N1" s="3" t="s">
        <v>10</v>
      </c>
      <c r="O1" s="3" t="s">
        <v>11</v>
      </c>
      <c r="P1" s="3" t="s">
        <v>9</v>
      </c>
    </row>
    <row r="2" spans="1:16">
      <c r="A2" s="1">
        <v>1001</v>
      </c>
      <c r="B2" s="1">
        <f>IF(MOD(A2,5)=0,4.5,MOD(A2,5)*0.75+0.75)</f>
        <v>1.5</v>
      </c>
      <c r="C2">
        <v>3</v>
      </c>
      <c r="D2">
        <v>2</v>
      </c>
      <c r="E2">
        <v>3</v>
      </c>
      <c r="F2">
        <v>1043</v>
      </c>
      <c r="G2">
        <v>107.89999389648401</v>
      </c>
      <c r="H2" s="3">
        <v>1</v>
      </c>
      <c r="I2" s="3">
        <v>6</v>
      </c>
      <c r="J2">
        <v>0</v>
      </c>
      <c r="K2">
        <f>I2+H2*(B2-C2+J2)</f>
        <v>4.5</v>
      </c>
      <c r="L2">
        <f>(G2-C2)/(M2-1)</f>
        <v>2.3840907703746366</v>
      </c>
      <c r="M2">
        <v>45</v>
      </c>
      <c r="N2">
        <f>1-1/36*((D2-L2)^2)</f>
        <v>0.99590206333647269</v>
      </c>
      <c r="O2" s="3">
        <f>1-1/36*((E2-1)^2)</f>
        <v>0.88888888888888884</v>
      </c>
      <c r="P2" s="4">
        <f>K2+N2+O2</f>
        <v>6.3847909522253623</v>
      </c>
    </row>
    <row r="3" spans="1:16">
      <c r="A3" s="1">
        <v>1002</v>
      </c>
      <c r="B3" s="1">
        <f t="shared" ref="B3:B66" si="0">IF(MOD(A3,5)=0,4.5,MOD(A3,5)*0.75+0.75)</f>
        <v>2.25</v>
      </c>
      <c r="C3">
        <v>3</v>
      </c>
      <c r="D3">
        <v>2.5</v>
      </c>
      <c r="E3">
        <v>1.5</v>
      </c>
      <c r="F3">
        <v>1043</v>
      </c>
      <c r="G3">
        <v>107.89999389648438</v>
      </c>
      <c r="H3" s="3">
        <v>1</v>
      </c>
      <c r="I3" s="3">
        <v>6</v>
      </c>
      <c r="J3" s="3">
        <v>0</v>
      </c>
      <c r="K3" s="3">
        <f t="shared" ref="K3:K46" si="1">I3+H3*(B3-C3+J3)</f>
        <v>5.25</v>
      </c>
      <c r="L3" s="3">
        <f t="shared" ref="L3:L46" si="2">(G3-C3)/(M3-1)</f>
        <v>2.384090770374645</v>
      </c>
      <c r="M3" s="3">
        <v>45</v>
      </c>
      <c r="N3" s="3">
        <f t="shared" ref="N3:N46" si="3">1-1/36*((D3-L3)^2)</f>
        <v>0.99962680695799044</v>
      </c>
      <c r="O3" s="3">
        <f t="shared" ref="O3:O46" si="4">1-1/36*((E3-1)^2)</f>
        <v>0.99305555555555558</v>
      </c>
      <c r="P3" s="4">
        <f t="shared" ref="P3:P46" si="5">K3+N3+O3</f>
        <v>7.2426823625135457</v>
      </c>
    </row>
    <row r="4" spans="1:16">
      <c r="A4" s="1">
        <v>1003</v>
      </c>
      <c r="B4" s="1">
        <f t="shared" si="0"/>
        <v>3</v>
      </c>
      <c r="C4">
        <v>2</v>
      </c>
      <c r="D4">
        <v>3</v>
      </c>
      <c r="E4">
        <v>3</v>
      </c>
      <c r="F4">
        <v>1043</v>
      </c>
      <c r="G4">
        <v>107.89999389648438</v>
      </c>
      <c r="H4" s="3">
        <v>1</v>
      </c>
      <c r="I4" s="3">
        <v>6</v>
      </c>
      <c r="J4" s="3">
        <v>0</v>
      </c>
      <c r="K4" s="3">
        <f t="shared" si="1"/>
        <v>7</v>
      </c>
      <c r="L4" s="3">
        <f t="shared" si="2"/>
        <v>2.4068180431019175</v>
      </c>
      <c r="M4" s="3">
        <v>45</v>
      </c>
      <c r="N4" s="3">
        <f t="shared" si="3"/>
        <v>0.99022597683362668</v>
      </c>
      <c r="O4" s="3">
        <f t="shared" si="4"/>
        <v>0.88888888888888884</v>
      </c>
      <c r="P4" s="4">
        <f t="shared" si="5"/>
        <v>8.8791148657225154</v>
      </c>
    </row>
    <row r="5" spans="1:16">
      <c r="A5" s="1">
        <v>1004</v>
      </c>
      <c r="B5" s="1">
        <f t="shared" si="0"/>
        <v>3.75</v>
      </c>
      <c r="C5">
        <v>2</v>
      </c>
      <c r="D5">
        <v>2.5</v>
      </c>
      <c r="E5">
        <v>2.5</v>
      </c>
      <c r="F5">
        <v>1043</v>
      </c>
      <c r="G5">
        <v>107.89999389648438</v>
      </c>
      <c r="H5" s="3">
        <v>1</v>
      </c>
      <c r="I5" s="3">
        <v>6</v>
      </c>
      <c r="J5" s="3">
        <v>0</v>
      </c>
      <c r="K5" s="3">
        <f t="shared" si="1"/>
        <v>7.75</v>
      </c>
      <c r="L5" s="3">
        <f t="shared" si="2"/>
        <v>2.4068180431019175</v>
      </c>
      <c r="M5" s="3">
        <v>45</v>
      </c>
      <c r="N5" s="3">
        <f t="shared" si="3"/>
        <v>0.9997588089696845</v>
      </c>
      <c r="O5" s="3">
        <f t="shared" si="4"/>
        <v>0.9375</v>
      </c>
      <c r="P5" s="4">
        <f t="shared" si="5"/>
        <v>9.6872588089696841</v>
      </c>
    </row>
    <row r="6" spans="1:16">
      <c r="A6" s="1">
        <v>1005</v>
      </c>
      <c r="B6" s="1">
        <f t="shared" si="0"/>
        <v>4.5</v>
      </c>
      <c r="C6">
        <v>4.5</v>
      </c>
      <c r="D6">
        <v>2</v>
      </c>
      <c r="E6">
        <v>2.5</v>
      </c>
      <c r="F6">
        <v>1043</v>
      </c>
      <c r="G6">
        <v>107.89999389648438</v>
      </c>
      <c r="H6" s="3">
        <v>1</v>
      </c>
      <c r="I6" s="3">
        <v>6</v>
      </c>
      <c r="J6" s="3">
        <v>0</v>
      </c>
      <c r="K6" s="3">
        <f t="shared" si="1"/>
        <v>6</v>
      </c>
      <c r="L6" s="3">
        <f t="shared" si="2"/>
        <v>2.3499998612837358</v>
      </c>
      <c r="M6" s="3">
        <v>45</v>
      </c>
      <c r="N6" s="3">
        <f t="shared" si="3"/>
        <v>0.99659722491948233</v>
      </c>
      <c r="O6" s="3">
        <f t="shared" si="4"/>
        <v>0.9375</v>
      </c>
      <c r="P6" s="4">
        <f t="shared" si="5"/>
        <v>7.9340972249194825</v>
      </c>
    </row>
    <row r="7" spans="1:16">
      <c r="A7" s="1">
        <v>1006</v>
      </c>
      <c r="B7" s="1">
        <f t="shared" si="0"/>
        <v>1.5</v>
      </c>
      <c r="C7">
        <v>0.5</v>
      </c>
      <c r="D7">
        <v>0.8</v>
      </c>
      <c r="E7">
        <v>3</v>
      </c>
      <c r="F7">
        <v>1043</v>
      </c>
      <c r="G7">
        <v>107.89999389648438</v>
      </c>
      <c r="H7" s="3">
        <v>1</v>
      </c>
      <c r="I7" s="3">
        <v>6</v>
      </c>
      <c r="J7" s="3">
        <v>0</v>
      </c>
      <c r="K7" s="3">
        <f t="shared" si="1"/>
        <v>7</v>
      </c>
      <c r="L7" s="3">
        <f t="shared" si="2"/>
        <v>2.4409089521928267</v>
      </c>
      <c r="M7" s="3">
        <v>45</v>
      </c>
      <c r="N7" s="3">
        <f t="shared" si="3"/>
        <v>0.92520605029481784</v>
      </c>
      <c r="O7" s="3">
        <f t="shared" si="4"/>
        <v>0.88888888888888884</v>
      </c>
      <c r="P7" s="4">
        <f t="shared" si="5"/>
        <v>8.8140949391837076</v>
      </c>
    </row>
    <row r="8" spans="1:16">
      <c r="A8" s="1">
        <v>1007</v>
      </c>
      <c r="B8" s="1">
        <f t="shared" si="0"/>
        <v>2.25</v>
      </c>
      <c r="C8">
        <v>1.5</v>
      </c>
      <c r="D8">
        <v>3.3</v>
      </c>
      <c r="E8">
        <v>2.5</v>
      </c>
      <c r="F8">
        <v>1043</v>
      </c>
      <c r="G8">
        <v>107.89999389648438</v>
      </c>
      <c r="H8" s="3">
        <v>1</v>
      </c>
      <c r="I8" s="3">
        <v>6</v>
      </c>
      <c r="J8" s="3">
        <v>0</v>
      </c>
      <c r="K8" s="3">
        <f t="shared" si="1"/>
        <v>6.75</v>
      </c>
      <c r="L8" s="3">
        <f t="shared" si="2"/>
        <v>2.4181816794655542</v>
      </c>
      <c r="M8" s="3">
        <v>45</v>
      </c>
      <c r="N8" s="3">
        <f t="shared" si="3"/>
        <v>0.97839990137693911</v>
      </c>
      <c r="O8" s="3">
        <f t="shared" si="4"/>
        <v>0.9375</v>
      </c>
      <c r="P8" s="4">
        <f t="shared" si="5"/>
        <v>8.6658999013769389</v>
      </c>
    </row>
    <row r="9" spans="1:16">
      <c r="A9" s="1">
        <v>1008</v>
      </c>
      <c r="B9" s="1">
        <f t="shared" si="0"/>
        <v>3</v>
      </c>
      <c r="C9">
        <v>3</v>
      </c>
      <c r="D9">
        <v>3</v>
      </c>
      <c r="E9">
        <v>4</v>
      </c>
      <c r="F9">
        <v>1043</v>
      </c>
      <c r="G9">
        <v>107.89999389648438</v>
      </c>
      <c r="H9" s="3">
        <v>1</v>
      </c>
      <c r="I9" s="3">
        <v>6</v>
      </c>
      <c r="J9" s="3">
        <v>0</v>
      </c>
      <c r="K9" s="3">
        <f t="shared" si="1"/>
        <v>6</v>
      </c>
      <c r="L9" s="3">
        <f t="shared" si="2"/>
        <v>2.384090770374645</v>
      </c>
      <c r="M9" s="3">
        <v>45</v>
      </c>
      <c r="N9" s="3">
        <f t="shared" si="3"/>
        <v>0.98946266169061947</v>
      </c>
      <c r="O9" s="3">
        <f t="shared" si="4"/>
        <v>0.75</v>
      </c>
      <c r="P9" s="4">
        <f t="shared" si="5"/>
        <v>7.7394626616906192</v>
      </c>
    </row>
    <row r="10" spans="1:16">
      <c r="A10" s="1">
        <v>1009</v>
      </c>
      <c r="B10" s="1">
        <f t="shared" si="0"/>
        <v>3.75</v>
      </c>
      <c r="C10">
        <v>0</v>
      </c>
      <c r="D10">
        <v>3</v>
      </c>
      <c r="E10">
        <v>2</v>
      </c>
      <c r="F10">
        <v>1043</v>
      </c>
      <c r="G10">
        <v>107.89999389648438</v>
      </c>
      <c r="H10" s="3">
        <v>1</v>
      </c>
      <c r="I10" s="3">
        <v>6</v>
      </c>
      <c r="J10" s="3">
        <v>0</v>
      </c>
      <c r="K10" s="3">
        <f t="shared" si="1"/>
        <v>9.75</v>
      </c>
      <c r="L10" s="3">
        <f t="shared" si="2"/>
        <v>2.4522725885564629</v>
      </c>
      <c r="M10" s="3">
        <v>45</v>
      </c>
      <c r="N10" s="3">
        <f t="shared" si="3"/>
        <v>0.99166651896537117</v>
      </c>
      <c r="O10" s="3">
        <f t="shared" si="4"/>
        <v>0.97222222222222221</v>
      </c>
      <c r="P10" s="4">
        <f t="shared" si="5"/>
        <v>11.713888741187592</v>
      </c>
    </row>
    <row r="11" spans="1:16">
      <c r="A11" s="1">
        <v>1010</v>
      </c>
      <c r="B11" s="1">
        <f t="shared" si="0"/>
        <v>4.5</v>
      </c>
      <c r="C11">
        <v>0</v>
      </c>
      <c r="D11">
        <v>3</v>
      </c>
      <c r="E11">
        <v>3</v>
      </c>
      <c r="F11">
        <v>1043</v>
      </c>
      <c r="G11">
        <v>107.89999389648438</v>
      </c>
      <c r="H11" s="3">
        <v>1</v>
      </c>
      <c r="I11" s="3">
        <v>6</v>
      </c>
      <c r="J11" s="3">
        <v>0</v>
      </c>
      <c r="K11" s="3">
        <f t="shared" si="1"/>
        <v>10.5</v>
      </c>
      <c r="L11" s="3">
        <f t="shared" si="2"/>
        <v>2.4522725885564629</v>
      </c>
      <c r="M11" s="3">
        <v>45</v>
      </c>
      <c r="N11" s="3">
        <f t="shared" si="3"/>
        <v>0.99166651896537117</v>
      </c>
      <c r="O11" s="3">
        <f t="shared" si="4"/>
        <v>0.88888888888888884</v>
      </c>
      <c r="P11" s="4">
        <f t="shared" si="5"/>
        <v>12.38055540785426</v>
      </c>
    </row>
    <row r="12" spans="1:16">
      <c r="A12" s="1">
        <v>1011</v>
      </c>
      <c r="B12" s="1">
        <f t="shared" si="0"/>
        <v>1.5</v>
      </c>
      <c r="C12">
        <v>1</v>
      </c>
      <c r="D12">
        <v>3</v>
      </c>
      <c r="E12">
        <v>3</v>
      </c>
      <c r="F12">
        <v>1043</v>
      </c>
      <c r="G12">
        <v>107.89999389648438</v>
      </c>
      <c r="H12" s="3">
        <v>1</v>
      </c>
      <c r="I12" s="3">
        <v>6</v>
      </c>
      <c r="J12" s="3">
        <v>0</v>
      </c>
      <c r="K12" s="3">
        <f t="shared" si="1"/>
        <v>6.5</v>
      </c>
      <c r="L12" s="3">
        <f t="shared" si="2"/>
        <v>2.4295453158291904</v>
      </c>
      <c r="M12" s="3">
        <v>45</v>
      </c>
      <c r="N12" s="3">
        <f t="shared" si="3"/>
        <v>0.99096059592521057</v>
      </c>
      <c r="O12" s="3">
        <f t="shared" si="4"/>
        <v>0.88888888888888884</v>
      </c>
      <c r="P12" s="4">
        <f t="shared" si="5"/>
        <v>8.3798494848141001</v>
      </c>
    </row>
    <row r="13" spans="1:16">
      <c r="A13" s="1">
        <v>1012</v>
      </c>
      <c r="B13" s="1">
        <f t="shared" si="0"/>
        <v>2.25</v>
      </c>
      <c r="C13">
        <v>3.6</v>
      </c>
      <c r="D13">
        <v>4.2</v>
      </c>
      <c r="E13">
        <v>3.5</v>
      </c>
      <c r="F13">
        <v>1043</v>
      </c>
      <c r="G13">
        <v>107.89999389648438</v>
      </c>
      <c r="H13" s="3">
        <v>1</v>
      </c>
      <c r="I13" s="3">
        <v>6</v>
      </c>
      <c r="J13" s="3">
        <v>0</v>
      </c>
      <c r="K13" s="3">
        <f t="shared" si="1"/>
        <v>4.6500000000000004</v>
      </c>
      <c r="L13" s="3">
        <f t="shared" si="2"/>
        <v>2.3704544067382813</v>
      </c>
      <c r="M13" s="3">
        <v>45</v>
      </c>
      <c r="N13" s="3">
        <f t="shared" si="3"/>
        <v>0.90702119228268407</v>
      </c>
      <c r="O13" s="3">
        <f t="shared" si="4"/>
        <v>0.82638888888888884</v>
      </c>
      <c r="P13" s="4">
        <f t="shared" si="5"/>
        <v>6.3834100811715739</v>
      </c>
    </row>
    <row r="14" spans="1:16">
      <c r="A14" s="1">
        <v>1013</v>
      </c>
      <c r="B14" s="1">
        <f t="shared" si="0"/>
        <v>3</v>
      </c>
      <c r="C14">
        <v>4.5</v>
      </c>
      <c r="D14">
        <v>4</v>
      </c>
      <c r="E14">
        <v>3.5</v>
      </c>
      <c r="F14">
        <v>1043</v>
      </c>
      <c r="G14">
        <v>107.89999389648438</v>
      </c>
      <c r="H14" s="3">
        <v>1</v>
      </c>
      <c r="I14" s="3">
        <v>6</v>
      </c>
      <c r="J14" s="3">
        <v>0</v>
      </c>
      <c r="K14" s="3">
        <f t="shared" si="1"/>
        <v>4.5</v>
      </c>
      <c r="L14" s="3">
        <f t="shared" si="2"/>
        <v>2.3499998612837358</v>
      </c>
      <c r="M14" s="3">
        <v>45</v>
      </c>
      <c r="N14" s="3">
        <f t="shared" si="3"/>
        <v>0.92437498728434186</v>
      </c>
      <c r="O14" s="3">
        <f t="shared" si="4"/>
        <v>0.82638888888888884</v>
      </c>
      <c r="P14" s="4">
        <f t="shared" si="5"/>
        <v>6.2507638761732309</v>
      </c>
    </row>
    <row r="15" spans="1:16">
      <c r="A15" s="1">
        <v>1014</v>
      </c>
      <c r="B15" s="1">
        <f t="shared" si="0"/>
        <v>3.75</v>
      </c>
      <c r="C15">
        <v>0.75</v>
      </c>
      <c r="D15">
        <v>2</v>
      </c>
      <c r="E15">
        <v>1.5</v>
      </c>
      <c r="F15">
        <v>1043</v>
      </c>
      <c r="G15">
        <v>107.89999389648438</v>
      </c>
      <c r="H15" s="3">
        <v>1</v>
      </c>
      <c r="I15" s="3">
        <v>6</v>
      </c>
      <c r="J15" s="3">
        <v>0</v>
      </c>
      <c r="K15" s="3">
        <f t="shared" si="1"/>
        <v>9</v>
      </c>
      <c r="L15" s="3">
        <f t="shared" si="2"/>
        <v>2.4352271340110083</v>
      </c>
      <c r="M15" s="3">
        <v>45</v>
      </c>
      <c r="N15" s="3">
        <f t="shared" si="3"/>
        <v>0.99473825949501571</v>
      </c>
      <c r="O15" s="3">
        <f t="shared" si="4"/>
        <v>0.99305555555555558</v>
      </c>
      <c r="P15" s="4">
        <f t="shared" si="5"/>
        <v>10.987793815050571</v>
      </c>
    </row>
    <row r="16" spans="1:16">
      <c r="A16" s="1">
        <v>1015</v>
      </c>
      <c r="B16" s="1">
        <f t="shared" si="0"/>
        <v>4.5</v>
      </c>
      <c r="C16">
        <v>0.5</v>
      </c>
      <c r="D16">
        <v>2.5</v>
      </c>
      <c r="E16">
        <v>1.5</v>
      </c>
      <c r="F16">
        <v>1043</v>
      </c>
      <c r="G16">
        <v>107.89999389648438</v>
      </c>
      <c r="H16" s="3">
        <v>1</v>
      </c>
      <c r="I16" s="3">
        <v>6</v>
      </c>
      <c r="J16" s="3">
        <v>0</v>
      </c>
      <c r="K16" s="3">
        <f t="shared" si="1"/>
        <v>10</v>
      </c>
      <c r="L16" s="3">
        <f t="shared" si="2"/>
        <v>2.4409089521928267</v>
      </c>
      <c r="M16" s="3">
        <v>45</v>
      </c>
      <c r="N16" s="3">
        <f t="shared" si="3"/>
        <v>0.99990300689080691</v>
      </c>
      <c r="O16" s="3">
        <f t="shared" si="4"/>
        <v>0.99305555555555558</v>
      </c>
      <c r="P16" s="4">
        <f t="shared" si="5"/>
        <v>11.992958562446363</v>
      </c>
    </row>
    <row r="17" spans="1:16">
      <c r="A17" s="1">
        <v>1016</v>
      </c>
      <c r="B17" s="1">
        <f t="shared" si="0"/>
        <v>1.5</v>
      </c>
      <c r="C17">
        <v>0</v>
      </c>
      <c r="D17">
        <v>1</v>
      </c>
      <c r="E17">
        <v>3</v>
      </c>
      <c r="F17">
        <v>1043</v>
      </c>
      <c r="G17">
        <v>107.89999389648438</v>
      </c>
      <c r="H17" s="3">
        <v>1</v>
      </c>
      <c r="I17" s="3">
        <v>6</v>
      </c>
      <c r="J17" s="3">
        <v>0</v>
      </c>
      <c r="K17" s="3">
        <f t="shared" si="1"/>
        <v>7.5</v>
      </c>
      <c r="L17" s="3">
        <f t="shared" si="2"/>
        <v>2.4522725885564629</v>
      </c>
      <c r="M17" s="3">
        <v>45</v>
      </c>
      <c r="N17" s="3">
        <f t="shared" si="3"/>
        <v>0.94141400912576423</v>
      </c>
      <c r="O17" s="3">
        <f t="shared" si="4"/>
        <v>0.88888888888888884</v>
      </c>
      <c r="P17" s="4">
        <f t="shared" si="5"/>
        <v>9.3303028980146543</v>
      </c>
    </row>
    <row r="18" spans="1:16">
      <c r="A18" s="1">
        <v>1017</v>
      </c>
      <c r="B18" s="1">
        <f t="shared" si="0"/>
        <v>2.25</v>
      </c>
      <c r="C18">
        <v>2.25</v>
      </c>
      <c r="D18">
        <v>2.25</v>
      </c>
      <c r="E18">
        <v>2.25</v>
      </c>
      <c r="F18">
        <v>1043</v>
      </c>
      <c r="G18">
        <v>107.89999389648438</v>
      </c>
      <c r="H18" s="3">
        <v>1</v>
      </c>
      <c r="I18" s="3">
        <v>6</v>
      </c>
      <c r="J18" s="3">
        <v>0</v>
      </c>
      <c r="K18" s="3">
        <f t="shared" si="1"/>
        <v>6</v>
      </c>
      <c r="L18" s="3">
        <f t="shared" si="2"/>
        <v>2.4011362249200996</v>
      </c>
      <c r="M18" s="3">
        <v>45</v>
      </c>
      <c r="N18" s="3">
        <f t="shared" si="3"/>
        <v>0.99936549559769172</v>
      </c>
      <c r="O18" s="3">
        <f t="shared" si="4"/>
        <v>0.95659722222222221</v>
      </c>
      <c r="P18" s="4">
        <f t="shared" si="5"/>
        <v>7.9559627178199142</v>
      </c>
    </row>
    <row r="19" spans="1:16">
      <c r="A19" s="1">
        <v>1018</v>
      </c>
      <c r="B19" s="1">
        <f t="shared" si="0"/>
        <v>3</v>
      </c>
      <c r="C19">
        <v>0</v>
      </c>
      <c r="D19">
        <v>2</v>
      </c>
      <c r="E19">
        <v>3</v>
      </c>
      <c r="F19">
        <v>1043</v>
      </c>
      <c r="G19">
        <v>107.89999389648438</v>
      </c>
      <c r="H19" s="3">
        <v>1</v>
      </c>
      <c r="I19" s="3">
        <v>6</v>
      </c>
      <c r="J19" s="3">
        <v>0</v>
      </c>
      <c r="K19" s="3">
        <f t="shared" si="1"/>
        <v>9</v>
      </c>
      <c r="L19" s="3">
        <f t="shared" si="2"/>
        <v>2.4522725885564629</v>
      </c>
      <c r="M19" s="3">
        <v>45</v>
      </c>
      <c r="N19" s="3">
        <f t="shared" si="3"/>
        <v>0.99431804182334549</v>
      </c>
      <c r="O19" s="3">
        <f t="shared" si="4"/>
        <v>0.88888888888888884</v>
      </c>
      <c r="P19" s="4">
        <f t="shared" si="5"/>
        <v>10.883206930712234</v>
      </c>
    </row>
    <row r="20" spans="1:16">
      <c r="A20" s="1">
        <v>1019</v>
      </c>
      <c r="B20" s="1">
        <f t="shared" si="0"/>
        <v>3.75</v>
      </c>
      <c r="C20">
        <v>3</v>
      </c>
      <c r="D20">
        <v>3</v>
      </c>
      <c r="E20">
        <v>3</v>
      </c>
      <c r="F20">
        <v>1043</v>
      </c>
      <c r="G20">
        <v>107.89999389648438</v>
      </c>
      <c r="H20" s="3">
        <v>1</v>
      </c>
      <c r="I20" s="3">
        <v>6</v>
      </c>
      <c r="J20" s="3">
        <v>0</v>
      </c>
      <c r="K20" s="3">
        <f t="shared" si="1"/>
        <v>6.75</v>
      </c>
      <c r="L20" s="3">
        <f t="shared" si="2"/>
        <v>2.384090770374645</v>
      </c>
      <c r="M20" s="3">
        <v>45</v>
      </c>
      <c r="N20" s="3">
        <f t="shared" si="3"/>
        <v>0.98946266169061947</v>
      </c>
      <c r="O20" s="3">
        <f t="shared" si="4"/>
        <v>0.88888888888888884</v>
      </c>
      <c r="P20" s="4">
        <f t="shared" si="5"/>
        <v>8.6283515505795076</v>
      </c>
    </row>
    <row r="21" spans="1:16">
      <c r="A21" s="1">
        <v>1020</v>
      </c>
      <c r="B21" s="1">
        <f t="shared" si="0"/>
        <v>4.5</v>
      </c>
      <c r="C21">
        <v>4.5</v>
      </c>
      <c r="D21">
        <v>3</v>
      </c>
      <c r="E21">
        <v>3</v>
      </c>
      <c r="F21">
        <v>1043</v>
      </c>
      <c r="G21">
        <v>107.89999389648438</v>
      </c>
      <c r="H21" s="3">
        <v>1</v>
      </c>
      <c r="I21" s="3">
        <v>6</v>
      </c>
      <c r="J21" s="3">
        <v>0</v>
      </c>
      <c r="K21" s="3">
        <f t="shared" si="1"/>
        <v>6</v>
      </c>
      <c r="L21" s="3">
        <f t="shared" si="2"/>
        <v>2.3499998612837358</v>
      </c>
      <c r="M21" s="3">
        <v>45</v>
      </c>
      <c r="N21" s="3">
        <f t="shared" si="3"/>
        <v>0.98826388387968989</v>
      </c>
      <c r="O21" s="3">
        <f t="shared" si="4"/>
        <v>0.88888888888888884</v>
      </c>
      <c r="P21" s="4">
        <f t="shared" si="5"/>
        <v>7.8771527727685786</v>
      </c>
    </row>
    <row r="22" spans="1:16">
      <c r="A22" s="1">
        <v>1021</v>
      </c>
      <c r="B22" s="1">
        <f t="shared" si="0"/>
        <v>1.5</v>
      </c>
      <c r="C22">
        <v>4</v>
      </c>
      <c r="D22">
        <v>3.5</v>
      </c>
      <c r="E22">
        <v>4.5</v>
      </c>
      <c r="F22">
        <v>1043</v>
      </c>
      <c r="G22">
        <v>107.89999389648438</v>
      </c>
      <c r="H22" s="3">
        <v>1</v>
      </c>
      <c r="I22" s="3">
        <v>6</v>
      </c>
      <c r="J22" s="3">
        <v>0</v>
      </c>
      <c r="K22" s="3">
        <f t="shared" si="1"/>
        <v>3.5</v>
      </c>
      <c r="L22" s="3">
        <f t="shared" si="2"/>
        <v>2.3613634976473721</v>
      </c>
      <c r="M22" s="3">
        <v>45</v>
      </c>
      <c r="N22" s="3">
        <f t="shared" si="3"/>
        <v>0.96398630320861589</v>
      </c>
      <c r="O22" s="3">
        <f t="shared" si="4"/>
        <v>0.65972222222222232</v>
      </c>
      <c r="P22" s="4">
        <f t="shared" si="5"/>
        <v>5.1237085254308381</v>
      </c>
    </row>
    <row r="23" spans="1:16">
      <c r="A23" s="1">
        <v>1022</v>
      </c>
      <c r="B23" s="1">
        <f t="shared" si="0"/>
        <v>2.25</v>
      </c>
      <c r="C23">
        <v>2.5</v>
      </c>
      <c r="D23">
        <v>2</v>
      </c>
      <c r="E23">
        <v>2.2999999999999998</v>
      </c>
      <c r="F23">
        <v>1043</v>
      </c>
      <c r="G23">
        <v>107.89999389648438</v>
      </c>
      <c r="H23" s="3">
        <v>1</v>
      </c>
      <c r="I23" s="3">
        <v>6</v>
      </c>
      <c r="J23" s="3">
        <v>0</v>
      </c>
      <c r="K23" s="3">
        <f t="shared" si="1"/>
        <v>5.75</v>
      </c>
      <c r="L23" s="3">
        <f t="shared" si="2"/>
        <v>2.3954544067382813</v>
      </c>
      <c r="M23" s="3">
        <v>45</v>
      </c>
      <c r="N23" s="3">
        <f t="shared" si="3"/>
        <v>0.99565599478309097</v>
      </c>
      <c r="O23" s="3">
        <f t="shared" si="4"/>
        <v>0.95305555555555554</v>
      </c>
      <c r="P23" s="4">
        <f t="shared" si="5"/>
        <v>7.6987115503386461</v>
      </c>
    </row>
    <row r="24" spans="1:16">
      <c r="A24" s="1">
        <v>1023</v>
      </c>
      <c r="B24" s="1">
        <f t="shared" si="0"/>
        <v>3</v>
      </c>
      <c r="C24">
        <v>0</v>
      </c>
      <c r="D24">
        <v>0</v>
      </c>
      <c r="E24">
        <v>1</v>
      </c>
      <c r="F24">
        <v>1043</v>
      </c>
      <c r="G24">
        <v>107.89999389648438</v>
      </c>
      <c r="H24" s="3">
        <v>1</v>
      </c>
      <c r="I24" s="3">
        <v>6</v>
      </c>
      <c r="J24" s="3">
        <v>0</v>
      </c>
      <c r="K24" s="3">
        <f t="shared" si="1"/>
        <v>9</v>
      </c>
      <c r="L24" s="3">
        <f t="shared" si="2"/>
        <v>2.4522725885564629</v>
      </c>
      <c r="M24" s="3">
        <v>45</v>
      </c>
      <c r="N24" s="3">
        <f t="shared" si="3"/>
        <v>0.83295442087262739</v>
      </c>
      <c r="O24" s="3">
        <f t="shared" si="4"/>
        <v>1</v>
      </c>
      <c r="P24" s="4">
        <f t="shared" si="5"/>
        <v>10.832954420872628</v>
      </c>
    </row>
    <row r="25" spans="1:16">
      <c r="A25" s="1">
        <v>1024</v>
      </c>
      <c r="B25" s="1">
        <f t="shared" si="0"/>
        <v>3.75</v>
      </c>
      <c r="C25">
        <v>4</v>
      </c>
      <c r="D25">
        <v>3</v>
      </c>
      <c r="E25">
        <v>2.8</v>
      </c>
      <c r="F25">
        <v>1043</v>
      </c>
      <c r="G25">
        <v>107.89999389648438</v>
      </c>
      <c r="H25" s="3">
        <v>1</v>
      </c>
      <c r="I25" s="3">
        <v>6</v>
      </c>
      <c r="J25" s="3">
        <v>0</v>
      </c>
      <c r="K25" s="3">
        <f t="shared" si="1"/>
        <v>5.75</v>
      </c>
      <c r="L25" s="3">
        <f t="shared" si="2"/>
        <v>2.3613634976473721</v>
      </c>
      <c r="M25" s="3">
        <v>45</v>
      </c>
      <c r="N25" s="3">
        <f t="shared" si="3"/>
        <v>0.98867065049618896</v>
      </c>
      <c r="O25" s="3">
        <f t="shared" si="4"/>
        <v>0.91</v>
      </c>
      <c r="P25" s="4">
        <f t="shared" si="5"/>
        <v>7.6486706504961894</v>
      </c>
    </row>
    <row r="26" spans="1:16">
      <c r="A26" s="1">
        <v>1025</v>
      </c>
      <c r="B26" s="1">
        <f t="shared" si="0"/>
        <v>4.5</v>
      </c>
      <c r="C26">
        <v>4.5</v>
      </c>
      <c r="D26">
        <v>3</v>
      </c>
      <c r="E26">
        <v>2</v>
      </c>
      <c r="F26">
        <v>1043</v>
      </c>
      <c r="G26">
        <v>107.89999389648438</v>
      </c>
      <c r="H26" s="3">
        <v>1</v>
      </c>
      <c r="I26" s="3">
        <v>6</v>
      </c>
      <c r="J26" s="3">
        <v>0</v>
      </c>
      <c r="K26" s="3">
        <f t="shared" si="1"/>
        <v>6</v>
      </c>
      <c r="L26" s="3">
        <f t="shared" si="2"/>
        <v>2.3499998612837358</v>
      </c>
      <c r="M26" s="3">
        <v>45</v>
      </c>
      <c r="N26" s="3">
        <f t="shared" si="3"/>
        <v>0.98826388387968989</v>
      </c>
      <c r="O26" s="3">
        <f t="shared" si="4"/>
        <v>0.97222222222222221</v>
      </c>
      <c r="P26" s="4">
        <f t="shared" si="5"/>
        <v>7.9604861061019125</v>
      </c>
    </row>
    <row r="27" spans="1:16">
      <c r="A27" s="1">
        <v>1026</v>
      </c>
      <c r="B27" s="1">
        <f t="shared" si="0"/>
        <v>1.5</v>
      </c>
      <c r="C27">
        <v>3</v>
      </c>
      <c r="D27">
        <v>3</v>
      </c>
      <c r="E27">
        <v>2.5</v>
      </c>
      <c r="F27">
        <v>1043</v>
      </c>
      <c r="G27">
        <v>107.89999389648438</v>
      </c>
      <c r="H27" s="3">
        <v>1</v>
      </c>
      <c r="I27" s="3">
        <v>6</v>
      </c>
      <c r="J27" s="3">
        <v>0</v>
      </c>
      <c r="K27" s="3">
        <f t="shared" si="1"/>
        <v>4.5</v>
      </c>
      <c r="L27" s="3">
        <f t="shared" si="2"/>
        <v>2.384090770374645</v>
      </c>
      <c r="M27" s="3">
        <v>45</v>
      </c>
      <c r="N27" s="3">
        <f t="shared" si="3"/>
        <v>0.98946266169061947</v>
      </c>
      <c r="O27" s="3">
        <f t="shared" si="4"/>
        <v>0.9375</v>
      </c>
      <c r="P27" s="4">
        <f t="shared" si="5"/>
        <v>6.4269626616906192</v>
      </c>
    </row>
    <row r="28" spans="1:16">
      <c r="A28" s="1">
        <v>1027</v>
      </c>
      <c r="B28" s="1">
        <f t="shared" si="0"/>
        <v>2.25</v>
      </c>
      <c r="C28">
        <v>3</v>
      </c>
      <c r="D28">
        <v>2.6</v>
      </c>
      <c r="E28">
        <v>2</v>
      </c>
      <c r="F28">
        <v>1043</v>
      </c>
      <c r="G28">
        <v>107.89999389648438</v>
      </c>
      <c r="H28" s="3">
        <v>1</v>
      </c>
      <c r="I28" s="3">
        <v>6</v>
      </c>
      <c r="J28" s="3">
        <v>0</v>
      </c>
      <c r="K28" s="3">
        <f t="shared" si="1"/>
        <v>5.25</v>
      </c>
      <c r="L28" s="3">
        <f t="shared" si="2"/>
        <v>2.384090770374645</v>
      </c>
      <c r="M28" s="3">
        <v>45</v>
      </c>
      <c r="N28" s="3">
        <f t="shared" si="3"/>
        <v>0.99870508901562738</v>
      </c>
      <c r="O28" s="3">
        <f t="shared" si="4"/>
        <v>0.97222222222222221</v>
      </c>
      <c r="P28" s="4">
        <f t="shared" si="5"/>
        <v>7.2209273112378494</v>
      </c>
    </row>
    <row r="29" spans="1:16">
      <c r="A29" s="1">
        <v>1028</v>
      </c>
      <c r="B29" s="1">
        <f t="shared" si="0"/>
        <v>3</v>
      </c>
      <c r="C29">
        <v>0</v>
      </c>
      <c r="D29">
        <v>3</v>
      </c>
      <c r="E29">
        <v>2.5</v>
      </c>
      <c r="F29">
        <v>1043</v>
      </c>
      <c r="G29">
        <v>107.89999389648438</v>
      </c>
      <c r="H29" s="3">
        <v>1</v>
      </c>
      <c r="I29" s="3">
        <v>6</v>
      </c>
      <c r="J29" s="3">
        <v>0</v>
      </c>
      <c r="K29" s="3">
        <f t="shared" si="1"/>
        <v>9</v>
      </c>
      <c r="L29" s="3">
        <f t="shared" si="2"/>
        <v>2.4522725885564629</v>
      </c>
      <c r="M29" s="3">
        <v>45</v>
      </c>
      <c r="N29" s="3">
        <f t="shared" si="3"/>
        <v>0.99166651896537117</v>
      </c>
      <c r="O29" s="3">
        <f t="shared" si="4"/>
        <v>0.9375</v>
      </c>
      <c r="P29" s="4">
        <f t="shared" si="5"/>
        <v>10.929166518965371</v>
      </c>
    </row>
    <row r="30" spans="1:16">
      <c r="A30" s="1">
        <v>1029</v>
      </c>
      <c r="B30" s="1">
        <f t="shared" si="0"/>
        <v>3.75</v>
      </c>
      <c r="C30">
        <v>4.25</v>
      </c>
      <c r="D30">
        <v>3.75</v>
      </c>
      <c r="E30">
        <v>4</v>
      </c>
      <c r="F30">
        <v>1043</v>
      </c>
      <c r="G30">
        <v>107.89999389648438</v>
      </c>
      <c r="H30" s="3">
        <v>1</v>
      </c>
      <c r="I30" s="3">
        <v>6</v>
      </c>
      <c r="J30" s="3">
        <v>0</v>
      </c>
      <c r="K30" s="3">
        <f t="shared" si="1"/>
        <v>5.5</v>
      </c>
      <c r="L30" s="3">
        <f t="shared" si="2"/>
        <v>2.3556816794655542</v>
      </c>
      <c r="M30" s="3">
        <v>45</v>
      </c>
      <c r="N30" s="3">
        <f t="shared" si="3"/>
        <v>0.94599656725061121</v>
      </c>
      <c r="O30" s="3">
        <f t="shared" si="4"/>
        <v>0.75</v>
      </c>
      <c r="P30" s="4">
        <f t="shared" si="5"/>
        <v>7.195996567250611</v>
      </c>
    </row>
    <row r="31" spans="1:16">
      <c r="A31" s="1">
        <v>1030</v>
      </c>
      <c r="B31" s="1">
        <f t="shared" si="0"/>
        <v>4.5</v>
      </c>
      <c r="C31">
        <v>3</v>
      </c>
      <c r="D31">
        <v>3.5</v>
      </c>
      <c r="E31">
        <v>2.8</v>
      </c>
      <c r="F31">
        <v>1043</v>
      </c>
      <c r="G31">
        <v>107.89999389648438</v>
      </c>
      <c r="H31" s="3">
        <v>1</v>
      </c>
      <c r="I31" s="3">
        <v>6</v>
      </c>
      <c r="J31" s="3">
        <v>0</v>
      </c>
      <c r="K31" s="3">
        <f t="shared" si="1"/>
        <v>7.5</v>
      </c>
      <c r="L31" s="3">
        <f t="shared" si="2"/>
        <v>2.384090770374645</v>
      </c>
      <c r="M31" s="3">
        <v>45</v>
      </c>
      <c r="N31" s="3">
        <f t="shared" si="3"/>
        <v>0.96540962753435966</v>
      </c>
      <c r="O31" s="3">
        <f t="shared" si="4"/>
        <v>0.91</v>
      </c>
      <c r="P31" s="4">
        <f t="shared" si="5"/>
        <v>9.3754096275343599</v>
      </c>
    </row>
    <row r="32" spans="1:16">
      <c r="A32" s="1">
        <v>1031</v>
      </c>
      <c r="B32" s="1">
        <f t="shared" si="0"/>
        <v>1.5</v>
      </c>
      <c r="C32">
        <v>5</v>
      </c>
      <c r="D32">
        <v>4</v>
      </c>
      <c r="E32">
        <v>4.5</v>
      </c>
      <c r="F32">
        <v>1043</v>
      </c>
      <c r="G32">
        <v>107.89999389648438</v>
      </c>
      <c r="H32" s="3">
        <v>1</v>
      </c>
      <c r="I32" s="3">
        <v>6</v>
      </c>
      <c r="J32" s="3">
        <v>0</v>
      </c>
      <c r="K32" s="3">
        <f t="shared" si="1"/>
        <v>2.5</v>
      </c>
      <c r="L32" s="3">
        <f t="shared" si="2"/>
        <v>2.3386362249200996</v>
      </c>
      <c r="M32" s="3">
        <v>45</v>
      </c>
      <c r="N32" s="3">
        <f t="shared" si="3"/>
        <v>0.92332973352367398</v>
      </c>
      <c r="O32" s="3">
        <f t="shared" si="4"/>
        <v>0.65972222222222232</v>
      </c>
      <c r="P32" s="4">
        <f t="shared" si="5"/>
        <v>4.083051955745896</v>
      </c>
    </row>
    <row r="33" spans="1:16">
      <c r="A33" s="1">
        <v>1032</v>
      </c>
      <c r="B33" s="1">
        <f t="shared" si="0"/>
        <v>2.25</v>
      </c>
      <c r="C33">
        <v>4</v>
      </c>
      <c r="D33">
        <v>3.5</v>
      </c>
      <c r="E33">
        <v>3.5</v>
      </c>
      <c r="F33">
        <v>1043</v>
      </c>
      <c r="G33">
        <v>107.89999389648438</v>
      </c>
      <c r="H33" s="3">
        <v>1</v>
      </c>
      <c r="I33" s="3">
        <v>6</v>
      </c>
      <c r="J33" s="3">
        <v>0</v>
      </c>
      <c r="K33" s="3">
        <f t="shared" si="1"/>
        <v>4.25</v>
      </c>
      <c r="L33" s="3">
        <f t="shared" si="2"/>
        <v>2.3613634976473721</v>
      </c>
      <c r="M33" s="3">
        <v>45</v>
      </c>
      <c r="N33" s="3">
        <f t="shared" si="3"/>
        <v>0.96398630320861589</v>
      </c>
      <c r="O33" s="3">
        <f t="shared" si="4"/>
        <v>0.82638888888888884</v>
      </c>
      <c r="P33" s="4">
        <f t="shared" si="5"/>
        <v>6.0403751920975051</v>
      </c>
    </row>
    <row r="34" spans="1:16">
      <c r="A34" s="1">
        <v>1033</v>
      </c>
      <c r="B34" s="1">
        <f t="shared" si="0"/>
        <v>3</v>
      </c>
      <c r="C34">
        <v>2.75</v>
      </c>
      <c r="D34">
        <v>2.5</v>
      </c>
      <c r="E34">
        <v>3.25</v>
      </c>
      <c r="F34">
        <v>1043</v>
      </c>
      <c r="G34">
        <v>107.89999389648438</v>
      </c>
      <c r="H34" s="3">
        <v>1</v>
      </c>
      <c r="I34" s="3">
        <v>6</v>
      </c>
      <c r="J34" s="3">
        <v>0</v>
      </c>
      <c r="K34" s="3">
        <f t="shared" si="1"/>
        <v>6.25</v>
      </c>
      <c r="L34" s="3">
        <f t="shared" si="2"/>
        <v>2.3897725885564629</v>
      </c>
      <c r="M34" s="3">
        <v>45</v>
      </c>
      <c r="N34" s="3">
        <f t="shared" si="3"/>
        <v>0.9996624977157349</v>
      </c>
      <c r="O34" s="3">
        <f t="shared" si="4"/>
        <v>0.859375</v>
      </c>
      <c r="P34" s="4">
        <f t="shared" si="5"/>
        <v>8.109037497715736</v>
      </c>
    </row>
    <row r="35" spans="1:16">
      <c r="A35" s="1">
        <v>1034</v>
      </c>
      <c r="B35" s="1">
        <f t="shared" si="0"/>
        <v>3.75</v>
      </c>
      <c r="C35">
        <v>2.5</v>
      </c>
      <c r="D35">
        <v>3.2</v>
      </c>
      <c r="E35">
        <v>3</v>
      </c>
      <c r="F35">
        <v>1043</v>
      </c>
      <c r="G35">
        <v>107.89999389648438</v>
      </c>
      <c r="H35" s="3">
        <v>1</v>
      </c>
      <c r="I35" s="3">
        <v>6</v>
      </c>
      <c r="J35" s="3">
        <v>0</v>
      </c>
      <c r="K35" s="3">
        <f t="shared" si="1"/>
        <v>7.25</v>
      </c>
      <c r="L35" s="3">
        <f t="shared" si="2"/>
        <v>2.3954544067382813</v>
      </c>
      <c r="M35" s="3">
        <v>45</v>
      </c>
      <c r="N35" s="3">
        <f t="shared" si="3"/>
        <v>0.9820196218989764</v>
      </c>
      <c r="O35" s="3">
        <f t="shared" si="4"/>
        <v>0.88888888888888884</v>
      </c>
      <c r="P35" s="4">
        <f t="shared" si="5"/>
        <v>9.1209085107878654</v>
      </c>
    </row>
    <row r="36" spans="1:16">
      <c r="A36" s="1">
        <v>1035</v>
      </c>
      <c r="B36" s="1">
        <f t="shared" si="0"/>
        <v>4.5</v>
      </c>
      <c r="C36">
        <v>0</v>
      </c>
      <c r="D36">
        <v>1</v>
      </c>
      <c r="E36">
        <v>1</v>
      </c>
      <c r="F36">
        <v>1043</v>
      </c>
      <c r="G36">
        <v>107.89999389648438</v>
      </c>
      <c r="H36" s="3">
        <v>1</v>
      </c>
      <c r="I36" s="3">
        <v>6</v>
      </c>
      <c r="J36" s="3">
        <v>0</v>
      </c>
      <c r="K36" s="3">
        <f t="shared" si="1"/>
        <v>10.5</v>
      </c>
      <c r="L36" s="3">
        <f t="shared" si="2"/>
        <v>2.4522725885564629</v>
      </c>
      <c r="M36" s="3">
        <v>45</v>
      </c>
      <c r="N36" s="3">
        <f t="shared" si="3"/>
        <v>0.94141400912576423</v>
      </c>
      <c r="O36" s="3">
        <f t="shared" si="4"/>
        <v>1</v>
      </c>
      <c r="P36" s="4">
        <f t="shared" si="5"/>
        <v>12.441414009125765</v>
      </c>
    </row>
    <row r="37" spans="1:16">
      <c r="A37" s="1">
        <v>1036</v>
      </c>
      <c r="B37" s="1">
        <f t="shared" si="0"/>
        <v>1.5</v>
      </c>
      <c r="C37">
        <v>2.5</v>
      </c>
      <c r="D37">
        <v>3</v>
      </c>
      <c r="E37">
        <v>2.5</v>
      </c>
      <c r="F37">
        <v>1043</v>
      </c>
      <c r="G37">
        <v>107.89999389648438</v>
      </c>
      <c r="H37" s="3">
        <v>1</v>
      </c>
      <c r="I37" s="3">
        <v>6</v>
      </c>
      <c r="J37" s="3">
        <v>0</v>
      </c>
      <c r="K37" s="3">
        <f t="shared" si="1"/>
        <v>5</v>
      </c>
      <c r="L37" s="3">
        <f t="shared" si="2"/>
        <v>2.3954544067382813</v>
      </c>
      <c r="M37" s="3">
        <v>45</v>
      </c>
      <c r="N37" s="3">
        <f t="shared" si="3"/>
        <v>0.98984790626855101</v>
      </c>
      <c r="O37" s="3">
        <f t="shared" si="4"/>
        <v>0.9375</v>
      </c>
      <c r="P37" s="4">
        <f t="shared" si="5"/>
        <v>6.927347906268551</v>
      </c>
    </row>
    <row r="38" spans="1:16">
      <c r="A38" s="1">
        <v>1037</v>
      </c>
      <c r="B38" s="1">
        <f t="shared" si="0"/>
        <v>2.25</v>
      </c>
      <c r="C38">
        <v>0.5</v>
      </c>
      <c r="D38">
        <v>0.25</v>
      </c>
      <c r="E38">
        <v>0.25</v>
      </c>
      <c r="F38">
        <v>1043</v>
      </c>
      <c r="G38">
        <v>107.89999389648438</v>
      </c>
      <c r="H38" s="3">
        <v>1</v>
      </c>
      <c r="I38" s="3">
        <v>6</v>
      </c>
      <c r="J38" s="3">
        <v>0</v>
      </c>
      <c r="K38" s="3">
        <f t="shared" si="1"/>
        <v>7.75</v>
      </c>
      <c r="L38" s="3">
        <f t="shared" si="2"/>
        <v>2.4409089521928267</v>
      </c>
      <c r="M38" s="3">
        <v>45</v>
      </c>
      <c r="N38" s="3">
        <f t="shared" si="3"/>
        <v>0.86666438786670363</v>
      </c>
      <c r="O38" s="3">
        <f t="shared" si="4"/>
        <v>0.984375</v>
      </c>
      <c r="P38" s="4">
        <f t="shared" si="5"/>
        <v>9.6010393878667042</v>
      </c>
    </row>
    <row r="39" spans="1:16">
      <c r="A39" s="1">
        <v>1038</v>
      </c>
      <c r="B39" s="1">
        <f t="shared" si="0"/>
        <v>3</v>
      </c>
      <c r="C39">
        <v>2.5</v>
      </c>
      <c r="D39">
        <v>2.6</v>
      </c>
      <c r="E39">
        <v>3</v>
      </c>
      <c r="F39">
        <v>1043</v>
      </c>
      <c r="G39">
        <v>107.89999389648438</v>
      </c>
      <c r="H39" s="3">
        <v>1</v>
      </c>
      <c r="I39" s="3">
        <v>6</v>
      </c>
      <c r="J39" s="3">
        <v>0</v>
      </c>
      <c r="K39" s="3">
        <f t="shared" si="1"/>
        <v>6.5</v>
      </c>
      <c r="L39" s="3">
        <f t="shared" si="2"/>
        <v>2.3954544067382813</v>
      </c>
      <c r="M39" s="3">
        <v>45</v>
      </c>
      <c r="N39" s="3">
        <f t="shared" si="3"/>
        <v>0.99883780834103364</v>
      </c>
      <c r="O39" s="3">
        <f t="shared" si="4"/>
        <v>0.88888888888888884</v>
      </c>
      <c r="P39" s="4">
        <f t="shared" si="5"/>
        <v>8.3877266972299225</v>
      </c>
    </row>
    <row r="40" spans="1:16">
      <c r="A40" s="1">
        <v>1039</v>
      </c>
      <c r="B40" s="1">
        <f t="shared" si="0"/>
        <v>3.75</v>
      </c>
      <c r="C40">
        <v>3</v>
      </c>
      <c r="D40">
        <v>3.75</v>
      </c>
      <c r="E40">
        <v>3.75</v>
      </c>
      <c r="F40">
        <v>1043</v>
      </c>
      <c r="G40">
        <v>107.89999389648438</v>
      </c>
      <c r="H40" s="3">
        <v>1</v>
      </c>
      <c r="I40" s="3">
        <v>6</v>
      </c>
      <c r="J40" s="3">
        <v>0</v>
      </c>
      <c r="K40" s="3">
        <f t="shared" si="1"/>
        <v>6.75</v>
      </c>
      <c r="L40" s="3">
        <f t="shared" si="2"/>
        <v>2.384090770374645</v>
      </c>
      <c r="M40" s="3">
        <v>45</v>
      </c>
      <c r="N40" s="3">
        <f t="shared" si="3"/>
        <v>0.94817477712289633</v>
      </c>
      <c r="O40" s="3">
        <f t="shared" si="4"/>
        <v>0.78993055555555558</v>
      </c>
      <c r="P40" s="4">
        <f t="shared" si="5"/>
        <v>8.4881053326784528</v>
      </c>
    </row>
    <row r="41" spans="1:16">
      <c r="A41" s="1">
        <v>1040</v>
      </c>
      <c r="B41" s="1">
        <f t="shared" si="0"/>
        <v>4.5</v>
      </c>
      <c r="C41">
        <v>2.85</v>
      </c>
      <c r="D41">
        <v>3</v>
      </c>
      <c r="E41">
        <v>3</v>
      </c>
      <c r="F41">
        <v>1043</v>
      </c>
      <c r="G41">
        <v>107.89999389648438</v>
      </c>
      <c r="H41" s="3">
        <v>1</v>
      </c>
      <c r="I41" s="3">
        <v>6</v>
      </c>
      <c r="J41" s="3">
        <v>0</v>
      </c>
      <c r="K41" s="3">
        <f t="shared" si="1"/>
        <v>7.65</v>
      </c>
      <c r="L41" s="3">
        <f t="shared" si="2"/>
        <v>2.3874998612837359</v>
      </c>
      <c r="M41" s="3">
        <v>45</v>
      </c>
      <c r="N41" s="3">
        <f t="shared" si="3"/>
        <v>0.98957898833534885</v>
      </c>
      <c r="O41" s="3">
        <f t="shared" si="4"/>
        <v>0.88888888888888884</v>
      </c>
      <c r="P41" s="4">
        <f t="shared" si="5"/>
        <v>9.528467877224239</v>
      </c>
    </row>
    <row r="42" spans="1:16">
      <c r="A42" s="1">
        <v>1041</v>
      </c>
      <c r="B42" s="1">
        <f t="shared" si="0"/>
        <v>1.5</v>
      </c>
      <c r="C42">
        <v>1.5</v>
      </c>
      <c r="D42">
        <v>2.5</v>
      </c>
      <c r="E42">
        <v>2</v>
      </c>
      <c r="F42">
        <v>1043</v>
      </c>
      <c r="G42">
        <v>107.89999389648438</v>
      </c>
      <c r="H42" s="3">
        <v>1</v>
      </c>
      <c r="I42" s="3">
        <v>6</v>
      </c>
      <c r="J42" s="3">
        <v>0</v>
      </c>
      <c r="K42" s="3">
        <f t="shared" si="1"/>
        <v>6</v>
      </c>
      <c r="L42" s="3">
        <f t="shared" si="2"/>
        <v>2.4181816794655542</v>
      </c>
      <c r="M42" s="3">
        <v>45</v>
      </c>
      <c r="N42" s="3">
        <f t="shared" si="3"/>
        <v>0.99981404895624781</v>
      </c>
      <c r="O42" s="3">
        <f t="shared" si="4"/>
        <v>0.97222222222222221</v>
      </c>
      <c r="P42" s="4">
        <f t="shared" si="5"/>
        <v>7.97203627117847</v>
      </c>
    </row>
    <row r="43" spans="1:16">
      <c r="A43" s="1">
        <v>1042</v>
      </c>
      <c r="B43" s="1">
        <f t="shared" si="0"/>
        <v>2.25</v>
      </c>
      <c r="C43">
        <v>2.25</v>
      </c>
      <c r="D43">
        <v>1</v>
      </c>
      <c r="E43">
        <v>1</v>
      </c>
      <c r="F43">
        <v>1043</v>
      </c>
      <c r="G43">
        <v>107.89999389648438</v>
      </c>
      <c r="H43" s="3">
        <v>1</v>
      </c>
      <c r="I43" s="3">
        <v>6</v>
      </c>
      <c r="J43" s="3">
        <v>0</v>
      </c>
      <c r="K43" s="3">
        <f t="shared" si="1"/>
        <v>6</v>
      </c>
      <c r="L43" s="3">
        <f t="shared" si="2"/>
        <v>2.4011362249200996</v>
      </c>
      <c r="M43" s="3">
        <v>45</v>
      </c>
      <c r="N43" s="3">
        <f t="shared" si="3"/>
        <v>0.94546714664490705</v>
      </c>
      <c r="O43" s="3">
        <f t="shared" si="4"/>
        <v>1</v>
      </c>
      <c r="P43" s="4">
        <f t="shared" si="5"/>
        <v>7.9454671466449067</v>
      </c>
    </row>
    <row r="44" spans="1:16">
      <c r="A44" s="1">
        <v>1043</v>
      </c>
      <c r="B44" s="1">
        <f t="shared" si="0"/>
        <v>3</v>
      </c>
      <c r="C44">
        <v>3</v>
      </c>
      <c r="D44">
        <v>3</v>
      </c>
      <c r="E44">
        <v>3</v>
      </c>
      <c r="F44">
        <v>1043</v>
      </c>
      <c r="G44">
        <v>107.89999389648438</v>
      </c>
      <c r="H44" s="3">
        <v>1</v>
      </c>
      <c r="I44" s="3">
        <v>6</v>
      </c>
      <c r="J44" s="3">
        <f>G44-45</f>
        <v>62.899993896484375</v>
      </c>
      <c r="K44" s="3">
        <f t="shared" si="1"/>
        <v>68.899993896484375</v>
      </c>
      <c r="L44" s="3">
        <f t="shared" si="2"/>
        <v>2.384090770374645</v>
      </c>
      <c r="M44" s="3">
        <v>45</v>
      </c>
      <c r="N44" s="3">
        <f t="shared" si="3"/>
        <v>0.98946266169061947</v>
      </c>
      <c r="O44" s="3">
        <f t="shared" si="4"/>
        <v>0.88888888888888884</v>
      </c>
      <c r="P44" s="4">
        <f t="shared" si="5"/>
        <v>70.778345447063884</v>
      </c>
    </row>
    <row r="45" spans="1:16">
      <c r="A45" s="1">
        <v>1044</v>
      </c>
      <c r="B45" s="1">
        <f t="shared" si="0"/>
        <v>3.75</v>
      </c>
      <c r="C45">
        <v>3.7</v>
      </c>
      <c r="D45">
        <v>3</v>
      </c>
      <c r="E45">
        <v>3.1</v>
      </c>
      <c r="F45">
        <v>1043</v>
      </c>
      <c r="G45">
        <v>107.89999389648438</v>
      </c>
      <c r="H45" s="3">
        <v>1</v>
      </c>
      <c r="I45" s="3">
        <v>6</v>
      </c>
      <c r="J45" s="3">
        <v>0</v>
      </c>
      <c r="K45" s="3">
        <f t="shared" si="1"/>
        <v>6.05</v>
      </c>
      <c r="L45" s="3">
        <f t="shared" si="2"/>
        <v>2.3681816794655539</v>
      </c>
      <c r="M45" s="3">
        <v>45</v>
      </c>
      <c r="N45" s="3">
        <f t="shared" si="3"/>
        <v>0.9889112669399176</v>
      </c>
      <c r="O45" s="3">
        <f t="shared" si="4"/>
        <v>0.87749999999999995</v>
      </c>
      <c r="P45" s="4">
        <f t="shared" si="5"/>
        <v>7.9164112669399174</v>
      </c>
    </row>
    <row r="46" spans="1:16">
      <c r="A46" s="1">
        <v>1045</v>
      </c>
      <c r="B46" s="1">
        <f t="shared" si="0"/>
        <v>4.5</v>
      </c>
      <c r="C46">
        <v>4</v>
      </c>
      <c r="D46">
        <v>5</v>
      </c>
      <c r="E46">
        <v>4</v>
      </c>
      <c r="F46">
        <v>1043</v>
      </c>
      <c r="G46">
        <v>107.89999389648438</v>
      </c>
      <c r="H46" s="3">
        <v>1</v>
      </c>
      <c r="I46" s="3">
        <v>6</v>
      </c>
      <c r="J46" s="3">
        <v>0</v>
      </c>
      <c r="K46" s="3">
        <f t="shared" si="1"/>
        <v>6.5</v>
      </c>
      <c r="L46" s="3">
        <f t="shared" si="2"/>
        <v>2.3613634976473721</v>
      </c>
      <c r="M46" s="3">
        <v>45</v>
      </c>
      <c r="N46" s="3">
        <f t="shared" si="3"/>
        <v>0.80659992801256364</v>
      </c>
      <c r="O46" s="3">
        <f t="shared" si="4"/>
        <v>0.75</v>
      </c>
      <c r="P46" s="4">
        <f t="shared" si="5"/>
        <v>8.0565999280125631</v>
      </c>
    </row>
    <row r="47" spans="1:16">
      <c r="A47" s="1">
        <v>1046</v>
      </c>
      <c r="B47" s="1">
        <f t="shared" si="0"/>
        <v>1.5</v>
      </c>
      <c r="J47" s="3"/>
      <c r="K47" s="3"/>
      <c r="L47" s="3"/>
      <c r="N47" s="3"/>
      <c r="O47" s="3"/>
    </row>
    <row r="48" spans="1:16">
      <c r="A48" s="1">
        <v>1047</v>
      </c>
      <c r="B48" s="1">
        <f t="shared" si="0"/>
        <v>2.25</v>
      </c>
      <c r="J48" s="3"/>
      <c r="K48" s="3"/>
      <c r="L48" s="3"/>
      <c r="N48" s="3"/>
      <c r="O48" s="3"/>
    </row>
    <row r="49" spans="1:15">
      <c r="A49" s="1">
        <v>1048</v>
      </c>
      <c r="B49" s="1">
        <f t="shared" si="0"/>
        <v>3</v>
      </c>
      <c r="J49" s="3"/>
      <c r="K49" s="3"/>
      <c r="L49" s="3"/>
      <c r="N49" s="3"/>
      <c r="O49" s="3"/>
    </row>
    <row r="50" spans="1:15">
      <c r="A50" s="1">
        <v>1049</v>
      </c>
      <c r="B50" s="1">
        <f t="shared" si="0"/>
        <v>3.75</v>
      </c>
      <c r="J50" s="3"/>
      <c r="K50" s="3"/>
      <c r="L50" s="3"/>
      <c r="N50" s="3"/>
      <c r="O50" s="3"/>
    </row>
    <row r="51" spans="1:15">
      <c r="A51" s="1">
        <v>1050</v>
      </c>
      <c r="B51" s="1">
        <f t="shared" si="0"/>
        <v>4.5</v>
      </c>
      <c r="J51" s="3"/>
      <c r="K51" s="3"/>
      <c r="L51" s="3"/>
      <c r="N51" s="3"/>
      <c r="O51" s="3"/>
    </row>
    <row r="52" spans="1:15">
      <c r="A52" s="1">
        <v>1051</v>
      </c>
      <c r="B52" s="1">
        <f t="shared" si="0"/>
        <v>1.5</v>
      </c>
      <c r="J52" s="3"/>
      <c r="K52" s="3"/>
      <c r="L52" s="3"/>
      <c r="N52" s="3"/>
      <c r="O52" s="3"/>
    </row>
    <row r="53" spans="1:15">
      <c r="A53" s="1">
        <v>1052</v>
      </c>
      <c r="B53" s="1">
        <f t="shared" si="0"/>
        <v>2.25</v>
      </c>
      <c r="J53" s="3"/>
      <c r="K53" s="3"/>
      <c r="L53" s="3"/>
      <c r="N53" s="3"/>
      <c r="O53" s="3"/>
    </row>
    <row r="54" spans="1:15">
      <c r="A54" s="1">
        <v>1053</v>
      </c>
      <c r="B54" s="1">
        <f t="shared" si="0"/>
        <v>3</v>
      </c>
      <c r="J54" s="3"/>
      <c r="K54" s="3"/>
      <c r="L54" s="3"/>
      <c r="N54" s="3"/>
      <c r="O54" s="3"/>
    </row>
    <row r="55" spans="1:15">
      <c r="A55" s="1">
        <v>1054</v>
      </c>
      <c r="B55" s="1">
        <f t="shared" si="0"/>
        <v>3.75</v>
      </c>
      <c r="J55" s="3"/>
      <c r="K55" s="3"/>
      <c r="L55" s="3"/>
      <c r="N55" s="3"/>
      <c r="O55" s="3"/>
    </row>
    <row r="56" spans="1:15">
      <c r="A56" s="1">
        <v>1055</v>
      </c>
      <c r="B56" s="1">
        <f t="shared" si="0"/>
        <v>4.5</v>
      </c>
      <c r="J56" s="3"/>
      <c r="K56" s="3"/>
      <c r="L56" s="3"/>
      <c r="N56" s="3"/>
      <c r="O56" s="3"/>
    </row>
    <row r="57" spans="1:15">
      <c r="A57" s="1">
        <v>1056</v>
      </c>
      <c r="B57" s="1">
        <f t="shared" si="0"/>
        <v>1.5</v>
      </c>
      <c r="J57" s="3"/>
      <c r="K57" s="3"/>
      <c r="L57" s="3"/>
      <c r="N57" s="3"/>
      <c r="O57" s="3"/>
    </row>
    <row r="58" spans="1:15">
      <c r="A58" s="1">
        <v>1057</v>
      </c>
      <c r="B58" s="1">
        <f t="shared" si="0"/>
        <v>2.25</v>
      </c>
      <c r="J58" s="3"/>
      <c r="K58" s="3"/>
      <c r="L58" s="3"/>
      <c r="N58" s="3"/>
      <c r="O58" s="3"/>
    </row>
    <row r="59" spans="1:15">
      <c r="A59" s="1">
        <v>1058</v>
      </c>
      <c r="B59" s="1">
        <f t="shared" si="0"/>
        <v>3</v>
      </c>
      <c r="J59" s="3"/>
      <c r="K59" s="3"/>
      <c r="L59" s="3"/>
      <c r="N59" s="3"/>
      <c r="O59" s="3"/>
    </row>
    <row r="60" spans="1:15">
      <c r="A60" s="1">
        <v>1059</v>
      </c>
      <c r="B60" s="1">
        <f t="shared" si="0"/>
        <v>3.75</v>
      </c>
      <c r="J60" s="3"/>
      <c r="K60" s="3"/>
      <c r="L60" s="3"/>
      <c r="N60" s="3"/>
      <c r="O60" s="3"/>
    </row>
    <row r="61" spans="1:15">
      <c r="A61" s="1">
        <v>1060</v>
      </c>
      <c r="B61" s="1">
        <f t="shared" si="0"/>
        <v>4.5</v>
      </c>
      <c r="J61" s="3"/>
      <c r="K61" s="3"/>
      <c r="L61" s="3"/>
      <c r="N61" s="3"/>
      <c r="O61" s="3"/>
    </row>
    <row r="62" spans="1:15">
      <c r="A62" s="1">
        <v>1061</v>
      </c>
      <c r="B62" s="1">
        <f t="shared" si="0"/>
        <v>1.5</v>
      </c>
      <c r="J62" s="3"/>
      <c r="K62" s="3"/>
      <c r="L62" s="3"/>
      <c r="N62" s="3"/>
      <c r="O62" s="3"/>
    </row>
    <row r="63" spans="1:15">
      <c r="A63" s="1">
        <v>1062</v>
      </c>
      <c r="B63" s="1">
        <f t="shared" si="0"/>
        <v>2.25</v>
      </c>
      <c r="J63" s="3"/>
      <c r="K63" s="3"/>
      <c r="L63" s="3"/>
      <c r="N63" s="3"/>
      <c r="O63" s="3"/>
    </row>
    <row r="64" spans="1:15">
      <c r="A64" s="1">
        <v>1063</v>
      </c>
      <c r="B64" s="1">
        <f t="shared" si="0"/>
        <v>3</v>
      </c>
      <c r="J64" s="3"/>
      <c r="K64" s="3"/>
      <c r="L64" s="3"/>
      <c r="N64" s="3"/>
      <c r="O64" s="3"/>
    </row>
    <row r="65" spans="1:15">
      <c r="A65" s="1">
        <v>1064</v>
      </c>
      <c r="B65" s="1">
        <f t="shared" si="0"/>
        <v>3.75</v>
      </c>
      <c r="J65" s="3"/>
      <c r="K65" s="3"/>
      <c r="L65" s="3"/>
      <c r="N65" s="3"/>
      <c r="O65" s="3"/>
    </row>
    <row r="66" spans="1:15">
      <c r="A66" s="1">
        <v>1065</v>
      </c>
      <c r="B66" s="1">
        <f t="shared" si="0"/>
        <v>4.5</v>
      </c>
      <c r="J66" s="3"/>
      <c r="K66" s="3"/>
      <c r="L66" s="3"/>
      <c r="N66" s="3"/>
      <c r="O66" s="3"/>
    </row>
    <row r="67" spans="1:15">
      <c r="A67" s="1">
        <v>1066</v>
      </c>
      <c r="B67" s="1">
        <f t="shared" ref="B67:B130" si="6">IF(MOD(A67,5)=0,4.5,MOD(A67,5)*0.75+0.75)</f>
        <v>1.5</v>
      </c>
      <c r="J67" s="3"/>
      <c r="K67" s="3"/>
      <c r="L67" s="3"/>
      <c r="N67" s="3"/>
      <c r="O67" s="3"/>
    </row>
    <row r="68" spans="1:15">
      <c r="A68" s="1">
        <v>1067</v>
      </c>
      <c r="B68" s="1">
        <f t="shared" si="6"/>
        <v>2.25</v>
      </c>
      <c r="J68" s="3"/>
      <c r="K68" s="3"/>
      <c r="L68" s="3"/>
      <c r="N68" s="3"/>
      <c r="O68" s="3"/>
    </row>
    <row r="69" spans="1:15">
      <c r="A69" s="1">
        <v>1068</v>
      </c>
      <c r="B69" s="1">
        <f t="shared" si="6"/>
        <v>3</v>
      </c>
      <c r="J69" s="3"/>
      <c r="K69" s="3"/>
      <c r="L69" s="3"/>
      <c r="N69" s="3"/>
      <c r="O69" s="3"/>
    </row>
    <row r="70" spans="1:15">
      <c r="A70" s="1">
        <v>1069</v>
      </c>
      <c r="B70" s="1">
        <f t="shared" si="6"/>
        <v>3.75</v>
      </c>
      <c r="J70" s="3"/>
      <c r="K70" s="3"/>
      <c r="L70" s="3"/>
      <c r="N70" s="3"/>
      <c r="O70" s="3"/>
    </row>
    <row r="71" spans="1:15">
      <c r="A71" s="1">
        <v>1070</v>
      </c>
      <c r="B71" s="1">
        <f t="shared" si="6"/>
        <v>4.5</v>
      </c>
      <c r="J71" s="3"/>
      <c r="K71" s="3"/>
      <c r="L71" s="3"/>
      <c r="N71" s="3"/>
      <c r="O71" s="3"/>
    </row>
    <row r="72" spans="1:15">
      <c r="A72" s="1">
        <v>1071</v>
      </c>
      <c r="B72" s="1">
        <f t="shared" si="6"/>
        <v>1.5</v>
      </c>
      <c r="J72" s="3"/>
      <c r="K72" s="3"/>
      <c r="L72" s="3"/>
      <c r="N72" s="3"/>
      <c r="O72" s="3"/>
    </row>
    <row r="73" spans="1:15">
      <c r="A73" s="1">
        <v>1072</v>
      </c>
      <c r="B73" s="1">
        <f t="shared" si="6"/>
        <v>2.25</v>
      </c>
      <c r="J73" s="3"/>
      <c r="K73" s="3"/>
      <c r="L73" s="3"/>
      <c r="N73" s="3"/>
      <c r="O73" s="3"/>
    </row>
    <row r="74" spans="1:15">
      <c r="A74" s="1">
        <v>1073</v>
      </c>
      <c r="B74" s="1">
        <f t="shared" si="6"/>
        <v>3</v>
      </c>
      <c r="J74" s="3"/>
      <c r="K74" s="3"/>
      <c r="L74" s="3"/>
      <c r="N74" s="3"/>
      <c r="O74" s="3"/>
    </row>
    <row r="75" spans="1:15">
      <c r="A75" s="1">
        <v>1074</v>
      </c>
      <c r="B75" s="1">
        <f t="shared" si="6"/>
        <v>3.75</v>
      </c>
      <c r="J75" s="3"/>
      <c r="K75" s="3"/>
      <c r="L75" s="3"/>
      <c r="N75" s="3"/>
      <c r="O75" s="3"/>
    </row>
    <row r="76" spans="1:15">
      <c r="A76" s="1">
        <v>1075</v>
      </c>
      <c r="B76" s="1">
        <f t="shared" si="6"/>
        <v>4.5</v>
      </c>
      <c r="J76" s="3"/>
      <c r="K76" s="3"/>
      <c r="L76" s="3"/>
      <c r="N76" s="3"/>
      <c r="O76" s="3"/>
    </row>
    <row r="77" spans="1:15">
      <c r="A77" s="1">
        <v>1076</v>
      </c>
      <c r="B77" s="1">
        <f t="shared" si="6"/>
        <v>1.5</v>
      </c>
      <c r="J77" s="3"/>
      <c r="K77" s="3"/>
      <c r="L77" s="3"/>
      <c r="N77" s="3"/>
      <c r="O77" s="3"/>
    </row>
    <row r="78" spans="1:15">
      <c r="A78" s="1">
        <v>1077</v>
      </c>
      <c r="B78" s="1">
        <f t="shared" si="6"/>
        <v>2.25</v>
      </c>
      <c r="J78" s="3"/>
      <c r="K78" s="3"/>
      <c r="L78" s="3"/>
      <c r="N78" s="3"/>
      <c r="O78" s="3"/>
    </row>
    <row r="79" spans="1:15">
      <c r="A79" s="1">
        <v>1078</v>
      </c>
      <c r="B79" s="1">
        <f t="shared" si="6"/>
        <v>3</v>
      </c>
      <c r="J79" s="3"/>
      <c r="K79" s="3"/>
      <c r="L79" s="3"/>
      <c r="N79" s="3"/>
      <c r="O79" s="3"/>
    </row>
    <row r="80" spans="1:15">
      <c r="A80" s="1">
        <v>1079</v>
      </c>
      <c r="B80" s="1">
        <f t="shared" si="6"/>
        <v>3.75</v>
      </c>
      <c r="J80" s="3"/>
      <c r="K80" s="3"/>
      <c r="L80" s="3"/>
      <c r="N80" s="3"/>
      <c r="O80" s="3"/>
    </row>
    <row r="81" spans="1:16">
      <c r="A81" s="1">
        <v>1080</v>
      </c>
      <c r="B81" s="1">
        <f t="shared" si="6"/>
        <v>4.5</v>
      </c>
      <c r="J81" s="3"/>
      <c r="K81" s="3"/>
      <c r="L81" s="3"/>
      <c r="N81" s="3"/>
      <c r="O81" s="3"/>
    </row>
    <row r="82" spans="1:16">
      <c r="A82" s="1">
        <v>1081</v>
      </c>
      <c r="B82" s="1">
        <f t="shared" si="6"/>
        <v>1.5</v>
      </c>
      <c r="J82" s="3"/>
      <c r="K82" s="3"/>
      <c r="L82" s="3"/>
      <c r="N82" s="3"/>
      <c r="O82" s="3"/>
    </row>
    <row r="83" spans="1:16">
      <c r="A83" s="1">
        <v>1082</v>
      </c>
      <c r="B83" s="1">
        <f t="shared" si="6"/>
        <v>2.25</v>
      </c>
      <c r="J83" s="3"/>
      <c r="K83" s="3"/>
      <c r="L83" s="3"/>
      <c r="N83" s="3"/>
      <c r="O83" s="3"/>
    </row>
    <row r="84" spans="1:16">
      <c r="A84" s="1">
        <v>1083</v>
      </c>
      <c r="B84" s="1">
        <f t="shared" si="6"/>
        <v>3</v>
      </c>
      <c r="J84" s="3"/>
      <c r="K84" s="3"/>
      <c r="L84" s="3"/>
      <c r="N84" s="3"/>
      <c r="O84" s="3"/>
    </row>
    <row r="85" spans="1:16">
      <c r="A85" s="1">
        <v>1084</v>
      </c>
      <c r="B85" s="1">
        <f t="shared" si="6"/>
        <v>3.75</v>
      </c>
      <c r="J85" s="3"/>
      <c r="K85" s="3"/>
      <c r="L85" s="3"/>
      <c r="N85" s="3"/>
      <c r="O85" s="3"/>
    </row>
    <row r="86" spans="1:16">
      <c r="A86" s="1">
        <v>1085</v>
      </c>
      <c r="B86" s="1">
        <f t="shared" si="6"/>
        <v>4.5</v>
      </c>
      <c r="J86" s="3"/>
      <c r="K86" s="3"/>
      <c r="L86" s="3"/>
      <c r="N86" s="3"/>
      <c r="O86" s="3"/>
    </row>
    <row r="87" spans="1:16">
      <c r="A87" s="1">
        <v>1086</v>
      </c>
      <c r="B87" s="1">
        <f t="shared" si="6"/>
        <v>1.5</v>
      </c>
      <c r="C87">
        <v>5</v>
      </c>
      <c r="D87">
        <v>1.3</v>
      </c>
      <c r="E87">
        <v>1.1000000000000001</v>
      </c>
      <c r="F87">
        <v>1087</v>
      </c>
      <c r="G87">
        <v>17.399999618530273</v>
      </c>
      <c r="H87" s="3">
        <v>1</v>
      </c>
      <c r="I87" s="3">
        <v>6</v>
      </c>
      <c r="J87" s="3">
        <v>0</v>
      </c>
      <c r="K87" s="3">
        <f t="shared" ref="K87:K130" si="7">I87+H87*(B87-C87+J87)</f>
        <v>2.5</v>
      </c>
      <c r="L87" s="3">
        <f t="shared" ref="L87:L146" si="8">(G87-C87)/(M87-1)</f>
        <v>3.0999999046325684</v>
      </c>
      <c r="M87">
        <v>5</v>
      </c>
      <c r="N87" s="3">
        <f t="shared" ref="N87:N130" si="9">1-1/36*((D87-L87)^2)</f>
        <v>0.91000000953674287</v>
      </c>
      <c r="O87" s="3">
        <f t="shared" ref="O87:O130" si="10">1-1/36*((E87-1)^2)</f>
        <v>0.99972222222222218</v>
      </c>
      <c r="P87" s="4">
        <f t="shared" ref="P87:P130" si="11">K87+N87+O87</f>
        <v>4.4097222317589653</v>
      </c>
    </row>
    <row r="88" spans="1:16">
      <c r="A88" s="1">
        <v>1087</v>
      </c>
      <c r="B88" s="1">
        <f t="shared" si="6"/>
        <v>2.25</v>
      </c>
      <c r="C88">
        <v>2.25</v>
      </c>
      <c r="D88">
        <v>3.5</v>
      </c>
      <c r="E88">
        <v>3</v>
      </c>
      <c r="F88">
        <v>1087</v>
      </c>
      <c r="G88">
        <v>17.399999618530273</v>
      </c>
      <c r="H88" s="3">
        <v>1</v>
      </c>
      <c r="I88" s="3">
        <v>6</v>
      </c>
      <c r="J88" s="3">
        <f>G88-5</f>
        <v>12.399999618530273</v>
      </c>
      <c r="K88" s="3">
        <f t="shared" si="7"/>
        <v>18.399999618530273</v>
      </c>
      <c r="L88" s="3">
        <f t="shared" si="8"/>
        <v>3.7874999046325684</v>
      </c>
      <c r="M88" s="3">
        <v>5</v>
      </c>
      <c r="N88" s="3">
        <f t="shared" si="9"/>
        <v>0.99770399457878511</v>
      </c>
      <c r="O88" s="3">
        <f t="shared" si="10"/>
        <v>0.88888888888888884</v>
      </c>
      <c r="P88" s="4">
        <f t="shared" si="11"/>
        <v>20.286592501997948</v>
      </c>
    </row>
    <row r="89" spans="1:16">
      <c r="A89" s="1">
        <v>1088</v>
      </c>
      <c r="B89" s="1">
        <f t="shared" si="6"/>
        <v>3</v>
      </c>
      <c r="C89">
        <v>2.4</v>
      </c>
      <c r="D89">
        <v>2.4</v>
      </c>
      <c r="E89">
        <v>2.4</v>
      </c>
      <c r="F89">
        <v>1087</v>
      </c>
      <c r="G89">
        <v>17.399999618530273</v>
      </c>
      <c r="H89" s="3">
        <v>1</v>
      </c>
      <c r="I89" s="3">
        <v>6</v>
      </c>
      <c r="J89" s="3">
        <v>0</v>
      </c>
      <c r="K89" s="3">
        <f t="shared" si="7"/>
        <v>6.6</v>
      </c>
      <c r="L89" s="3">
        <f t="shared" si="8"/>
        <v>3.7499999046325683</v>
      </c>
      <c r="M89" s="3">
        <v>5</v>
      </c>
      <c r="N89" s="3">
        <f t="shared" si="9"/>
        <v>0.94937500715255707</v>
      </c>
      <c r="O89" s="3">
        <f t="shared" si="10"/>
        <v>0.94555555555555559</v>
      </c>
      <c r="P89" s="4">
        <f t="shared" si="11"/>
        <v>8.4949305627081131</v>
      </c>
    </row>
    <row r="90" spans="1:16">
      <c r="A90" s="1">
        <v>1089</v>
      </c>
      <c r="B90" s="1">
        <f t="shared" si="6"/>
        <v>3.75</v>
      </c>
      <c r="C90">
        <v>4.5</v>
      </c>
      <c r="D90">
        <v>3.75</v>
      </c>
      <c r="E90">
        <v>0.75</v>
      </c>
      <c r="F90">
        <v>1087</v>
      </c>
      <c r="G90">
        <v>17.399999618530273</v>
      </c>
      <c r="H90" s="3">
        <v>1</v>
      </c>
      <c r="I90" s="3">
        <v>6</v>
      </c>
      <c r="J90" s="3">
        <v>0</v>
      </c>
      <c r="K90" s="3">
        <f t="shared" si="7"/>
        <v>5.25</v>
      </c>
      <c r="L90" s="3">
        <f t="shared" si="8"/>
        <v>3.2249999046325684</v>
      </c>
      <c r="M90" s="3">
        <v>5</v>
      </c>
      <c r="N90" s="3">
        <f t="shared" si="9"/>
        <v>0.99234374721844965</v>
      </c>
      <c r="O90" s="3">
        <f t="shared" si="10"/>
        <v>0.99826388888888884</v>
      </c>
      <c r="P90" s="4">
        <f t="shared" si="11"/>
        <v>7.2406076361073382</v>
      </c>
    </row>
    <row r="91" spans="1:16">
      <c r="A91" s="1">
        <v>1090</v>
      </c>
      <c r="B91" s="1">
        <f t="shared" si="6"/>
        <v>4.5</v>
      </c>
      <c r="C91">
        <v>3.25</v>
      </c>
      <c r="D91">
        <v>3</v>
      </c>
      <c r="E91">
        <v>2</v>
      </c>
      <c r="F91">
        <v>1087</v>
      </c>
      <c r="G91">
        <v>17.399999618530273</v>
      </c>
      <c r="H91" s="3">
        <v>1</v>
      </c>
      <c r="I91" s="3">
        <v>6</v>
      </c>
      <c r="J91" s="3">
        <v>0</v>
      </c>
      <c r="K91" s="3">
        <f t="shared" si="7"/>
        <v>7.25</v>
      </c>
      <c r="L91" s="3">
        <f t="shared" si="8"/>
        <v>3.5374999046325684</v>
      </c>
      <c r="M91" s="3">
        <v>5</v>
      </c>
      <c r="N91" s="3">
        <f t="shared" si="9"/>
        <v>0.99197482923666613</v>
      </c>
      <c r="O91" s="3">
        <f t="shared" si="10"/>
        <v>0.97222222222222221</v>
      </c>
      <c r="P91" s="4">
        <f t="shared" si="11"/>
        <v>9.2141970514588873</v>
      </c>
    </row>
    <row r="92" spans="1:16">
      <c r="A92" s="1">
        <v>1091</v>
      </c>
      <c r="B92" s="1">
        <f t="shared" si="6"/>
        <v>1.5</v>
      </c>
      <c r="C92">
        <v>1</v>
      </c>
      <c r="D92">
        <v>2</v>
      </c>
      <c r="E92">
        <v>2</v>
      </c>
      <c r="F92">
        <v>1091</v>
      </c>
      <c r="G92">
        <v>4</v>
      </c>
      <c r="H92" s="3">
        <v>0</v>
      </c>
      <c r="I92" s="3">
        <v>6</v>
      </c>
      <c r="J92" s="3">
        <v>0</v>
      </c>
      <c r="K92" s="3">
        <f t="shared" si="7"/>
        <v>6</v>
      </c>
      <c r="L92" s="3">
        <f t="shared" si="8"/>
        <v>0.75</v>
      </c>
      <c r="M92" s="3">
        <v>5</v>
      </c>
      <c r="N92" s="3">
        <f t="shared" si="9"/>
        <v>0.95659722222222221</v>
      </c>
      <c r="O92" s="3">
        <f t="shared" si="10"/>
        <v>0.97222222222222221</v>
      </c>
      <c r="P92" s="4">
        <f t="shared" si="11"/>
        <v>7.9288194444444446</v>
      </c>
    </row>
    <row r="93" spans="1:16">
      <c r="A93" s="1">
        <v>1092</v>
      </c>
      <c r="B93" s="1">
        <f t="shared" si="6"/>
        <v>2.25</v>
      </c>
      <c r="C93">
        <v>0.25</v>
      </c>
      <c r="D93">
        <v>1.8</v>
      </c>
      <c r="E93">
        <v>6</v>
      </c>
      <c r="F93">
        <v>1091</v>
      </c>
      <c r="G93">
        <v>4</v>
      </c>
      <c r="H93" s="3">
        <v>0</v>
      </c>
      <c r="I93" s="3">
        <v>6</v>
      </c>
      <c r="J93" s="3">
        <v>0</v>
      </c>
      <c r="K93" s="3">
        <f t="shared" si="7"/>
        <v>6</v>
      </c>
      <c r="L93" s="3">
        <f t="shared" si="8"/>
        <v>0.9375</v>
      </c>
      <c r="M93" s="3">
        <v>5</v>
      </c>
      <c r="N93" s="3">
        <f t="shared" si="9"/>
        <v>0.97933593750000003</v>
      </c>
      <c r="O93" s="3">
        <f t="shared" si="10"/>
        <v>0.30555555555555558</v>
      </c>
      <c r="P93" s="4">
        <f t="shared" si="11"/>
        <v>7.2848914930555555</v>
      </c>
    </row>
    <row r="94" spans="1:16">
      <c r="A94" s="1">
        <v>1093</v>
      </c>
      <c r="B94" s="1">
        <f t="shared" si="6"/>
        <v>3</v>
      </c>
      <c r="C94">
        <v>2</v>
      </c>
      <c r="D94">
        <v>3.5</v>
      </c>
      <c r="E94">
        <v>3</v>
      </c>
      <c r="F94">
        <v>1091</v>
      </c>
      <c r="G94">
        <v>4</v>
      </c>
      <c r="H94" s="3">
        <v>0</v>
      </c>
      <c r="I94" s="3">
        <v>6</v>
      </c>
      <c r="J94" s="3">
        <v>0</v>
      </c>
      <c r="K94" s="3">
        <f t="shared" si="7"/>
        <v>6</v>
      </c>
      <c r="L94" s="3">
        <f t="shared" si="8"/>
        <v>0.5</v>
      </c>
      <c r="M94" s="3">
        <v>5</v>
      </c>
      <c r="N94" s="3">
        <f t="shared" si="9"/>
        <v>0.75</v>
      </c>
      <c r="O94" s="3">
        <f t="shared" si="10"/>
        <v>0.88888888888888884</v>
      </c>
      <c r="P94" s="4">
        <f t="shared" si="11"/>
        <v>7.6388888888888893</v>
      </c>
    </row>
    <row r="95" spans="1:16">
      <c r="A95" s="1">
        <v>1094</v>
      </c>
      <c r="B95" s="1">
        <f t="shared" si="6"/>
        <v>3.75</v>
      </c>
      <c r="C95">
        <v>0</v>
      </c>
      <c r="D95">
        <v>3</v>
      </c>
      <c r="E95">
        <v>5</v>
      </c>
      <c r="F95">
        <v>1091</v>
      </c>
      <c r="G95">
        <v>4</v>
      </c>
      <c r="H95" s="3">
        <v>0</v>
      </c>
      <c r="I95" s="3">
        <v>6</v>
      </c>
      <c r="J95" s="3">
        <v>0</v>
      </c>
      <c r="K95" s="3">
        <f t="shared" si="7"/>
        <v>6</v>
      </c>
      <c r="L95" s="3">
        <f t="shared" si="8"/>
        <v>1</v>
      </c>
      <c r="M95" s="3">
        <v>5</v>
      </c>
      <c r="N95" s="3">
        <f t="shared" si="9"/>
        <v>0.88888888888888884</v>
      </c>
      <c r="O95" s="3">
        <f t="shared" si="10"/>
        <v>0.55555555555555558</v>
      </c>
      <c r="P95" s="4">
        <f t="shared" si="11"/>
        <v>7.4444444444444446</v>
      </c>
    </row>
    <row r="96" spans="1:16">
      <c r="A96" s="1">
        <v>1095</v>
      </c>
      <c r="B96" s="1">
        <f t="shared" si="6"/>
        <v>4.5</v>
      </c>
      <c r="C96">
        <v>0.75</v>
      </c>
      <c r="D96">
        <v>2</v>
      </c>
      <c r="E96">
        <v>1.5</v>
      </c>
      <c r="F96">
        <v>1091</v>
      </c>
      <c r="G96">
        <v>4</v>
      </c>
      <c r="H96" s="3">
        <v>0</v>
      </c>
      <c r="I96" s="3">
        <v>6</v>
      </c>
      <c r="J96" s="3">
        <v>0</v>
      </c>
      <c r="K96" s="3">
        <f t="shared" si="7"/>
        <v>6</v>
      </c>
      <c r="L96" s="3">
        <f t="shared" si="8"/>
        <v>0.8125</v>
      </c>
      <c r="M96" s="3">
        <v>5</v>
      </c>
      <c r="N96" s="3">
        <f t="shared" si="9"/>
        <v>0.96082899305555558</v>
      </c>
      <c r="O96" s="3">
        <f t="shared" si="10"/>
        <v>0.99305555555555558</v>
      </c>
      <c r="P96" s="4">
        <f t="shared" si="11"/>
        <v>7.9538845486111107</v>
      </c>
    </row>
    <row r="97" spans="1:50">
      <c r="A97" s="1">
        <v>1096</v>
      </c>
      <c r="B97" s="1">
        <f t="shared" si="6"/>
        <v>1.5</v>
      </c>
      <c r="C97">
        <v>4</v>
      </c>
      <c r="D97">
        <v>3</v>
      </c>
      <c r="E97">
        <v>3</v>
      </c>
      <c r="F97">
        <v>1096</v>
      </c>
      <c r="G97">
        <v>21</v>
      </c>
      <c r="H97" s="3">
        <v>1</v>
      </c>
      <c r="I97" s="3">
        <v>6</v>
      </c>
      <c r="J97" s="3">
        <f>G97-5</f>
        <v>16</v>
      </c>
      <c r="K97" s="3">
        <f t="shared" si="7"/>
        <v>19.5</v>
      </c>
      <c r="L97" s="3">
        <f t="shared" si="8"/>
        <v>4.25</v>
      </c>
      <c r="M97" s="3">
        <v>5</v>
      </c>
      <c r="N97" s="3">
        <f t="shared" si="9"/>
        <v>0.95659722222222221</v>
      </c>
      <c r="O97" s="3">
        <f t="shared" si="10"/>
        <v>0.88888888888888884</v>
      </c>
      <c r="P97" s="4">
        <f t="shared" si="11"/>
        <v>21.345486111111111</v>
      </c>
    </row>
    <row r="98" spans="1:50">
      <c r="A98" s="1">
        <v>1097</v>
      </c>
      <c r="B98" s="1">
        <f t="shared" si="6"/>
        <v>2.25</v>
      </c>
      <c r="C98">
        <v>2</v>
      </c>
      <c r="D98">
        <v>3</v>
      </c>
      <c r="E98">
        <v>3.5</v>
      </c>
      <c r="F98">
        <v>1096</v>
      </c>
      <c r="G98">
        <v>21</v>
      </c>
      <c r="H98" s="3">
        <v>1</v>
      </c>
      <c r="I98" s="3">
        <v>6</v>
      </c>
      <c r="J98" s="3">
        <v>0</v>
      </c>
      <c r="K98" s="3">
        <f t="shared" si="7"/>
        <v>6.25</v>
      </c>
      <c r="L98" s="3">
        <f t="shared" si="8"/>
        <v>4.75</v>
      </c>
      <c r="M98" s="3">
        <v>5</v>
      </c>
      <c r="N98" s="3">
        <f t="shared" si="9"/>
        <v>0.91493055555555558</v>
      </c>
      <c r="O98" s="3">
        <f t="shared" si="10"/>
        <v>0.82638888888888884</v>
      </c>
      <c r="P98" s="4">
        <f t="shared" si="11"/>
        <v>7.9913194444444446</v>
      </c>
    </row>
    <row r="99" spans="1:50">
      <c r="A99" s="1">
        <v>1098</v>
      </c>
      <c r="B99" s="1">
        <f t="shared" si="6"/>
        <v>3</v>
      </c>
      <c r="C99">
        <v>5</v>
      </c>
      <c r="D99">
        <v>3</v>
      </c>
      <c r="E99">
        <v>3</v>
      </c>
      <c r="F99">
        <v>1096</v>
      </c>
      <c r="G99">
        <v>21</v>
      </c>
      <c r="H99" s="3">
        <v>1</v>
      </c>
      <c r="I99" s="3">
        <v>6</v>
      </c>
      <c r="J99" s="3">
        <v>0</v>
      </c>
      <c r="K99" s="3">
        <f t="shared" si="7"/>
        <v>4</v>
      </c>
      <c r="L99" s="3">
        <f t="shared" si="8"/>
        <v>4</v>
      </c>
      <c r="M99" s="3">
        <v>5</v>
      </c>
      <c r="N99" s="3">
        <f t="shared" si="9"/>
        <v>0.97222222222222221</v>
      </c>
      <c r="O99" s="3">
        <f t="shared" si="10"/>
        <v>0.88888888888888884</v>
      </c>
      <c r="P99" s="4">
        <f t="shared" si="11"/>
        <v>5.8611111111111107</v>
      </c>
    </row>
    <row r="100" spans="1:50">
      <c r="A100" s="1">
        <v>1099</v>
      </c>
      <c r="B100" s="1">
        <f t="shared" si="6"/>
        <v>3.75</v>
      </c>
      <c r="C100">
        <v>5</v>
      </c>
      <c r="D100">
        <v>3.5</v>
      </c>
      <c r="E100">
        <v>3.5</v>
      </c>
      <c r="F100">
        <v>1096</v>
      </c>
      <c r="G100">
        <v>21</v>
      </c>
      <c r="H100" s="3">
        <v>1</v>
      </c>
      <c r="I100" s="3">
        <v>6</v>
      </c>
      <c r="J100" s="3">
        <v>0</v>
      </c>
      <c r="K100" s="3">
        <f t="shared" si="7"/>
        <v>4.75</v>
      </c>
      <c r="L100" s="3">
        <f t="shared" si="8"/>
        <v>4</v>
      </c>
      <c r="M100" s="3">
        <v>5</v>
      </c>
      <c r="N100" s="3">
        <f t="shared" si="9"/>
        <v>0.99305555555555558</v>
      </c>
      <c r="O100" s="3">
        <f t="shared" si="10"/>
        <v>0.82638888888888884</v>
      </c>
      <c r="P100" s="4">
        <f t="shared" si="11"/>
        <v>6.5694444444444446</v>
      </c>
    </row>
    <row r="101" spans="1:50">
      <c r="A101" s="1">
        <v>1100</v>
      </c>
      <c r="B101" s="1">
        <f t="shared" si="6"/>
        <v>4.5</v>
      </c>
      <c r="C101">
        <v>5</v>
      </c>
      <c r="D101">
        <v>3</v>
      </c>
      <c r="E101">
        <v>3</v>
      </c>
      <c r="F101">
        <v>1096</v>
      </c>
      <c r="G101">
        <v>21</v>
      </c>
      <c r="H101" s="3">
        <v>1</v>
      </c>
      <c r="I101" s="3">
        <v>6</v>
      </c>
      <c r="J101" s="3">
        <v>0</v>
      </c>
      <c r="K101" s="3">
        <f t="shared" si="7"/>
        <v>5.5</v>
      </c>
      <c r="L101" s="3">
        <f t="shared" si="8"/>
        <v>4</v>
      </c>
      <c r="M101" s="3">
        <v>5</v>
      </c>
      <c r="N101" s="3">
        <f t="shared" si="9"/>
        <v>0.97222222222222221</v>
      </c>
      <c r="O101" s="3">
        <f t="shared" si="10"/>
        <v>0.88888888888888884</v>
      </c>
      <c r="P101" s="4">
        <f t="shared" si="11"/>
        <v>7.3611111111111107</v>
      </c>
    </row>
    <row r="102" spans="1:50">
      <c r="A102" s="1">
        <v>1101</v>
      </c>
      <c r="B102" s="1">
        <f t="shared" si="6"/>
        <v>1.5</v>
      </c>
      <c r="C102">
        <v>0.5</v>
      </c>
      <c r="D102">
        <v>2</v>
      </c>
      <c r="E102">
        <v>3</v>
      </c>
      <c r="F102">
        <v>1105</v>
      </c>
      <c r="G102">
        <v>98.410003662109375</v>
      </c>
      <c r="H102" s="3">
        <v>1</v>
      </c>
      <c r="I102" s="3">
        <v>6</v>
      </c>
      <c r="J102" s="3">
        <v>0</v>
      </c>
      <c r="K102" s="3">
        <f t="shared" si="7"/>
        <v>7</v>
      </c>
      <c r="L102" s="3">
        <f t="shared" si="8"/>
        <v>2.2252273559570313</v>
      </c>
      <c r="M102">
        <v>45</v>
      </c>
      <c r="N102" s="3">
        <f t="shared" si="9"/>
        <v>0.99859090661468342</v>
      </c>
      <c r="O102" s="3">
        <f t="shared" si="10"/>
        <v>0.88888888888888884</v>
      </c>
      <c r="P102" s="4">
        <f t="shared" si="11"/>
        <v>8.8874797955035731</v>
      </c>
      <c r="AX102">
        <v>1101</v>
      </c>
    </row>
    <row r="103" spans="1:50">
      <c r="A103" s="1">
        <v>1102</v>
      </c>
      <c r="B103" s="1">
        <f t="shared" si="6"/>
        <v>2.25</v>
      </c>
      <c r="C103">
        <v>2.15</v>
      </c>
      <c r="D103">
        <v>2.35</v>
      </c>
      <c r="E103">
        <v>2.25</v>
      </c>
      <c r="F103">
        <v>1105</v>
      </c>
      <c r="G103">
        <v>98.410003662109375</v>
      </c>
      <c r="H103" s="3">
        <v>1</v>
      </c>
      <c r="I103" s="3">
        <v>6</v>
      </c>
      <c r="J103" s="3">
        <v>0</v>
      </c>
      <c r="K103" s="3">
        <f t="shared" si="7"/>
        <v>6.1</v>
      </c>
      <c r="L103" s="3">
        <f t="shared" si="8"/>
        <v>2.1877273559570312</v>
      </c>
      <c r="M103" s="3">
        <v>45</v>
      </c>
      <c r="N103" s="3">
        <f t="shared" si="9"/>
        <v>0.99926854413875843</v>
      </c>
      <c r="O103" s="3">
        <f t="shared" si="10"/>
        <v>0.95659722222222221</v>
      </c>
      <c r="P103" s="4">
        <f t="shared" si="11"/>
        <v>8.0558657663609807</v>
      </c>
      <c r="AX103">
        <v>1102</v>
      </c>
    </row>
    <row r="104" spans="1:50">
      <c r="A104" s="1">
        <v>1103</v>
      </c>
      <c r="B104" s="1">
        <f t="shared" si="6"/>
        <v>3</v>
      </c>
      <c r="C104">
        <v>2.75</v>
      </c>
      <c r="D104">
        <v>3</v>
      </c>
      <c r="E104">
        <v>3.5</v>
      </c>
      <c r="F104">
        <v>1105</v>
      </c>
      <c r="G104">
        <v>98.410003662109375</v>
      </c>
      <c r="H104" s="3">
        <v>1</v>
      </c>
      <c r="I104" s="3">
        <v>6</v>
      </c>
      <c r="J104" s="3">
        <v>0</v>
      </c>
      <c r="K104" s="3">
        <f t="shared" si="7"/>
        <v>6.25</v>
      </c>
      <c r="L104" s="3">
        <f t="shared" si="8"/>
        <v>2.1740909923206675</v>
      </c>
      <c r="M104" s="3">
        <v>45</v>
      </c>
      <c r="N104" s="3">
        <f t="shared" si="9"/>
        <v>0.98105206419539281</v>
      </c>
      <c r="O104" s="3">
        <f t="shared" si="10"/>
        <v>0.82638888888888884</v>
      </c>
      <c r="P104" s="4">
        <f t="shared" si="11"/>
        <v>8.0574409530842814</v>
      </c>
      <c r="AX104">
        <v>1103</v>
      </c>
    </row>
    <row r="105" spans="1:50">
      <c r="A105" s="1">
        <v>1104</v>
      </c>
      <c r="B105" s="1">
        <f t="shared" si="6"/>
        <v>3.75</v>
      </c>
      <c r="C105">
        <v>3</v>
      </c>
      <c r="D105">
        <v>3</v>
      </c>
      <c r="E105">
        <v>3.25</v>
      </c>
      <c r="F105">
        <v>1105</v>
      </c>
      <c r="G105">
        <v>98.410003662109375</v>
      </c>
      <c r="H105" s="3">
        <v>1</v>
      </c>
      <c r="I105" s="3">
        <v>6</v>
      </c>
      <c r="J105" s="3">
        <v>0</v>
      </c>
      <c r="K105" s="3">
        <f t="shared" si="7"/>
        <v>6.75</v>
      </c>
      <c r="L105" s="3">
        <f t="shared" si="8"/>
        <v>2.1684091741388496</v>
      </c>
      <c r="M105" s="3">
        <v>45</v>
      </c>
      <c r="N105" s="3">
        <f t="shared" si="9"/>
        <v>0.98079046384287694</v>
      </c>
      <c r="O105" s="3">
        <f t="shared" si="10"/>
        <v>0.859375</v>
      </c>
      <c r="P105" s="4">
        <f t="shared" si="11"/>
        <v>8.5901654638428759</v>
      </c>
      <c r="AX105">
        <v>1104</v>
      </c>
    </row>
    <row r="106" spans="1:50">
      <c r="A106" s="1">
        <v>1105</v>
      </c>
      <c r="B106" s="1">
        <f t="shared" si="6"/>
        <v>4.5</v>
      </c>
      <c r="C106">
        <v>2.5</v>
      </c>
      <c r="D106">
        <v>3.5</v>
      </c>
      <c r="E106">
        <v>3</v>
      </c>
      <c r="F106">
        <v>1105</v>
      </c>
      <c r="G106">
        <v>98.410003662109375</v>
      </c>
      <c r="H106" s="3">
        <v>1</v>
      </c>
      <c r="I106" s="3">
        <v>6</v>
      </c>
      <c r="J106" s="3">
        <f>G106-45</f>
        <v>53.410003662109375</v>
      </c>
      <c r="K106" s="3">
        <f t="shared" si="7"/>
        <v>61.410003662109375</v>
      </c>
      <c r="L106" s="3">
        <f t="shared" si="8"/>
        <v>2.1797728105024858</v>
      </c>
      <c r="M106" s="3">
        <v>45</v>
      </c>
      <c r="N106" s="3">
        <f t="shared" si="9"/>
        <v>0.95158333800309713</v>
      </c>
      <c r="O106" s="3">
        <f t="shared" si="10"/>
        <v>0.88888888888888884</v>
      </c>
      <c r="P106" s="4">
        <f t="shared" si="11"/>
        <v>63.250475889001358</v>
      </c>
      <c r="AX106">
        <v>1105</v>
      </c>
    </row>
    <row r="107" spans="1:50">
      <c r="A107" s="1">
        <v>1106</v>
      </c>
      <c r="B107" s="1">
        <f t="shared" si="6"/>
        <v>1.5</v>
      </c>
      <c r="C107">
        <v>0.5</v>
      </c>
      <c r="D107">
        <v>1.8</v>
      </c>
      <c r="E107">
        <v>1.4</v>
      </c>
      <c r="F107">
        <v>1105</v>
      </c>
      <c r="G107">
        <v>98.410003662109375</v>
      </c>
      <c r="H107" s="3">
        <v>1</v>
      </c>
      <c r="I107" s="3">
        <v>6</v>
      </c>
      <c r="J107" s="3">
        <v>0</v>
      </c>
      <c r="K107" s="3">
        <f t="shared" si="7"/>
        <v>7</v>
      </c>
      <c r="L107" s="3">
        <f t="shared" si="8"/>
        <v>2.2252273559570313</v>
      </c>
      <c r="M107" s="3">
        <v>45</v>
      </c>
      <c r="N107" s="3">
        <f t="shared" si="9"/>
        <v>0.99497726932627206</v>
      </c>
      <c r="O107" s="3">
        <f t="shared" si="10"/>
        <v>0.99555555555555553</v>
      </c>
      <c r="P107" s="4">
        <f t="shared" si="11"/>
        <v>8.9905328248818268</v>
      </c>
      <c r="AX107">
        <v>1106</v>
      </c>
    </row>
    <row r="108" spans="1:50">
      <c r="A108" s="1">
        <v>1107</v>
      </c>
      <c r="B108" s="1">
        <f t="shared" si="6"/>
        <v>2.25</v>
      </c>
      <c r="C108">
        <v>1.25</v>
      </c>
      <c r="D108">
        <v>5</v>
      </c>
      <c r="E108">
        <v>3</v>
      </c>
      <c r="F108">
        <v>1105</v>
      </c>
      <c r="G108">
        <v>98.410003662109375</v>
      </c>
      <c r="H108" s="3">
        <v>1</v>
      </c>
      <c r="I108" s="3">
        <v>6</v>
      </c>
      <c r="J108" s="3">
        <v>0</v>
      </c>
      <c r="K108" s="3">
        <f t="shared" si="7"/>
        <v>7</v>
      </c>
      <c r="L108" s="3">
        <f t="shared" si="8"/>
        <v>2.2081819014115767</v>
      </c>
      <c r="M108" s="3">
        <v>45</v>
      </c>
      <c r="N108" s="3">
        <f t="shared" si="9"/>
        <v>0.78349310289983665</v>
      </c>
      <c r="O108" s="3">
        <f t="shared" si="10"/>
        <v>0.88888888888888884</v>
      </c>
      <c r="P108" s="4">
        <f t="shared" si="11"/>
        <v>8.6723819917887255</v>
      </c>
      <c r="AX108">
        <v>1107</v>
      </c>
    </row>
    <row r="109" spans="1:50">
      <c r="A109" s="1">
        <v>1108</v>
      </c>
      <c r="B109" s="1">
        <f t="shared" si="6"/>
        <v>3</v>
      </c>
      <c r="C109">
        <v>3</v>
      </c>
      <c r="D109">
        <v>4.5</v>
      </c>
      <c r="E109">
        <v>2</v>
      </c>
      <c r="F109">
        <v>1105</v>
      </c>
      <c r="G109">
        <v>98.410003662109375</v>
      </c>
      <c r="H109" s="3">
        <v>1</v>
      </c>
      <c r="I109" s="3">
        <v>6</v>
      </c>
      <c r="J109" s="3">
        <v>0</v>
      </c>
      <c r="K109" s="3">
        <f t="shared" si="7"/>
        <v>6</v>
      </c>
      <c r="L109" s="3">
        <f t="shared" si="8"/>
        <v>2.1684091741388496</v>
      </c>
      <c r="M109" s="3">
        <v>45</v>
      </c>
      <c r="N109" s="3">
        <f t="shared" si="9"/>
        <v>0.84899122835444774</v>
      </c>
      <c r="O109" s="3">
        <f t="shared" si="10"/>
        <v>0.97222222222222221</v>
      </c>
      <c r="P109" s="4">
        <f t="shared" si="11"/>
        <v>7.8212134505766704</v>
      </c>
      <c r="AX109">
        <v>1108</v>
      </c>
    </row>
    <row r="110" spans="1:50">
      <c r="A110" s="1">
        <v>1109</v>
      </c>
      <c r="B110" s="1">
        <f t="shared" si="6"/>
        <v>3.75</v>
      </c>
      <c r="C110">
        <v>1</v>
      </c>
      <c r="D110">
        <v>1.6</v>
      </c>
      <c r="E110">
        <v>1.5</v>
      </c>
      <c r="F110">
        <v>1105</v>
      </c>
      <c r="G110">
        <v>98.410003662109375</v>
      </c>
      <c r="H110" s="3">
        <v>1</v>
      </c>
      <c r="I110" s="3">
        <v>6</v>
      </c>
      <c r="J110" s="3">
        <v>0</v>
      </c>
      <c r="K110" s="3">
        <f t="shared" si="7"/>
        <v>8.75</v>
      </c>
      <c r="L110" s="3">
        <f t="shared" si="8"/>
        <v>2.213863719593395</v>
      </c>
      <c r="M110" s="3">
        <v>45</v>
      </c>
      <c r="N110" s="3">
        <f t="shared" si="9"/>
        <v>0.98953253704908228</v>
      </c>
      <c r="O110" s="3">
        <f t="shared" si="10"/>
        <v>0.99305555555555558</v>
      </c>
      <c r="P110" s="4">
        <f t="shared" si="11"/>
        <v>10.732588092604638</v>
      </c>
      <c r="AX110">
        <v>1109</v>
      </c>
    </row>
    <row r="111" spans="1:50">
      <c r="A111" s="1">
        <v>1110</v>
      </c>
      <c r="B111" s="1">
        <f t="shared" si="6"/>
        <v>4.5</v>
      </c>
      <c r="C111">
        <v>5</v>
      </c>
      <c r="D111">
        <v>2</v>
      </c>
      <c r="E111">
        <v>2.5</v>
      </c>
      <c r="F111">
        <v>1105</v>
      </c>
      <c r="G111">
        <v>98.410003662109375</v>
      </c>
      <c r="H111" s="3">
        <v>1</v>
      </c>
      <c r="I111" s="3">
        <v>6</v>
      </c>
      <c r="J111" s="3">
        <v>0</v>
      </c>
      <c r="K111" s="3">
        <f t="shared" si="7"/>
        <v>5.5</v>
      </c>
      <c r="L111" s="3">
        <f t="shared" si="8"/>
        <v>2.1229546286843042</v>
      </c>
      <c r="M111" s="3">
        <v>45</v>
      </c>
      <c r="N111" s="3">
        <f t="shared" si="9"/>
        <v>0.99958005998014177</v>
      </c>
      <c r="O111" s="3">
        <f t="shared" si="10"/>
        <v>0.9375</v>
      </c>
      <c r="P111" s="4">
        <f t="shared" si="11"/>
        <v>7.4370800599801417</v>
      </c>
      <c r="AX111">
        <v>1110</v>
      </c>
    </row>
    <row r="112" spans="1:50">
      <c r="A112" s="1">
        <v>1111</v>
      </c>
      <c r="B112" s="1">
        <f t="shared" si="6"/>
        <v>1.5</v>
      </c>
      <c r="C112">
        <v>5</v>
      </c>
      <c r="D112">
        <v>2</v>
      </c>
      <c r="E112">
        <v>3</v>
      </c>
      <c r="F112">
        <v>1105</v>
      </c>
      <c r="G112">
        <v>98.410003662109375</v>
      </c>
      <c r="H112" s="3">
        <v>1</v>
      </c>
      <c r="I112" s="3">
        <v>6</v>
      </c>
      <c r="J112" s="3">
        <v>0</v>
      </c>
      <c r="K112" s="3">
        <f t="shared" si="7"/>
        <v>2.5</v>
      </c>
      <c r="L112" s="3">
        <f t="shared" si="8"/>
        <v>2.1229546286843042</v>
      </c>
      <c r="M112" s="3">
        <v>45</v>
      </c>
      <c r="N112" s="3">
        <f t="shared" si="9"/>
        <v>0.99958005998014177</v>
      </c>
      <c r="O112" s="3">
        <f t="shared" si="10"/>
        <v>0.88888888888888884</v>
      </c>
      <c r="P112" s="4">
        <f t="shared" si="11"/>
        <v>4.3884689488690309</v>
      </c>
      <c r="AX112">
        <v>1111</v>
      </c>
    </row>
    <row r="113" spans="1:50">
      <c r="A113" s="1">
        <v>1112</v>
      </c>
      <c r="B113" s="1">
        <f t="shared" si="6"/>
        <v>2.25</v>
      </c>
      <c r="C113">
        <v>3</v>
      </c>
      <c r="D113">
        <v>3</v>
      </c>
      <c r="E113">
        <v>3</v>
      </c>
      <c r="F113">
        <v>1105</v>
      </c>
      <c r="G113">
        <v>98.410003662109375</v>
      </c>
      <c r="H113" s="3">
        <v>1</v>
      </c>
      <c r="I113" s="3">
        <v>6</v>
      </c>
      <c r="J113" s="3">
        <v>0</v>
      </c>
      <c r="K113" s="3">
        <f t="shared" si="7"/>
        <v>5.25</v>
      </c>
      <c r="L113" s="3">
        <f t="shared" si="8"/>
        <v>2.1684091741388496</v>
      </c>
      <c r="M113" s="3">
        <v>45</v>
      </c>
      <c r="N113" s="3">
        <f t="shared" si="9"/>
        <v>0.98079046384287694</v>
      </c>
      <c r="O113" s="3">
        <f t="shared" si="10"/>
        <v>0.88888888888888884</v>
      </c>
      <c r="P113" s="4">
        <f t="shared" si="11"/>
        <v>7.1196793527317652</v>
      </c>
      <c r="AX113">
        <v>1112</v>
      </c>
    </row>
    <row r="114" spans="1:50">
      <c r="A114" s="1">
        <v>1113</v>
      </c>
      <c r="B114" s="1">
        <f t="shared" si="6"/>
        <v>3</v>
      </c>
      <c r="C114">
        <v>1</v>
      </c>
      <c r="D114">
        <v>2</v>
      </c>
      <c r="E114">
        <v>3</v>
      </c>
      <c r="F114">
        <v>1105</v>
      </c>
      <c r="G114">
        <v>98.410003662109375</v>
      </c>
      <c r="H114" s="3">
        <v>1</v>
      </c>
      <c r="I114" s="3">
        <v>6</v>
      </c>
      <c r="J114" s="3">
        <v>0</v>
      </c>
      <c r="K114" s="3">
        <f t="shared" si="7"/>
        <v>8</v>
      </c>
      <c r="L114" s="3">
        <f t="shared" si="8"/>
        <v>2.213863719593395</v>
      </c>
      <c r="M114" s="3">
        <v>45</v>
      </c>
      <c r="N114" s="3">
        <f t="shared" si="9"/>
        <v>0.99872950859560217</v>
      </c>
      <c r="O114" s="3">
        <f t="shared" si="10"/>
        <v>0.88888888888888884</v>
      </c>
      <c r="P114" s="4">
        <f t="shared" si="11"/>
        <v>9.8876183974844913</v>
      </c>
      <c r="AX114">
        <v>1113</v>
      </c>
    </row>
    <row r="115" spans="1:50">
      <c r="A115" s="1">
        <v>1114</v>
      </c>
      <c r="B115" s="1">
        <f t="shared" si="6"/>
        <v>3.75</v>
      </c>
      <c r="C115">
        <v>3.75</v>
      </c>
      <c r="D115">
        <v>3</v>
      </c>
      <c r="E115">
        <v>3</v>
      </c>
      <c r="F115">
        <v>1105</v>
      </c>
      <c r="G115">
        <v>98.410003662109375</v>
      </c>
      <c r="H115" s="3">
        <v>1</v>
      </c>
      <c r="I115" s="3">
        <v>6</v>
      </c>
      <c r="J115" s="3">
        <v>0</v>
      </c>
      <c r="K115" s="3">
        <f t="shared" si="7"/>
        <v>6</v>
      </c>
      <c r="L115" s="3">
        <f t="shared" si="8"/>
        <v>2.151363719593395</v>
      </c>
      <c r="M115" s="3">
        <v>45</v>
      </c>
      <c r="N115" s="3">
        <f t="shared" si="9"/>
        <v>0.97999490176604565</v>
      </c>
      <c r="O115" s="3">
        <f t="shared" si="10"/>
        <v>0.88888888888888884</v>
      </c>
      <c r="P115" s="4">
        <f t="shared" si="11"/>
        <v>7.8688837906549338</v>
      </c>
      <c r="AX115">
        <v>1114</v>
      </c>
    </row>
    <row r="116" spans="1:50">
      <c r="A116" s="1">
        <v>1115</v>
      </c>
      <c r="B116" s="1">
        <f t="shared" si="6"/>
        <v>4.5</v>
      </c>
      <c r="C116">
        <v>3</v>
      </c>
      <c r="D116">
        <v>2</v>
      </c>
      <c r="E116">
        <v>2</v>
      </c>
      <c r="F116">
        <v>1105</v>
      </c>
      <c r="G116">
        <v>98.410003662109375</v>
      </c>
      <c r="H116" s="3">
        <v>1</v>
      </c>
      <c r="I116" s="3">
        <v>6</v>
      </c>
      <c r="J116" s="3">
        <v>0</v>
      </c>
      <c r="K116" s="3">
        <f t="shared" si="7"/>
        <v>7.5</v>
      </c>
      <c r="L116" s="3">
        <f t="shared" si="8"/>
        <v>2.1684091741388496</v>
      </c>
      <c r="M116" s="3">
        <v>45</v>
      </c>
      <c r="N116" s="3">
        <f t="shared" si="9"/>
        <v>0.99921217639071858</v>
      </c>
      <c r="O116" s="3">
        <f t="shared" si="10"/>
        <v>0.97222222222222221</v>
      </c>
      <c r="P116" s="4">
        <f t="shared" si="11"/>
        <v>9.4714343986129403</v>
      </c>
      <c r="AX116">
        <v>1115</v>
      </c>
    </row>
    <row r="117" spans="1:50">
      <c r="A117" s="1">
        <v>1116</v>
      </c>
      <c r="B117" s="1">
        <f t="shared" si="6"/>
        <v>1.5</v>
      </c>
      <c r="C117">
        <v>1</v>
      </c>
      <c r="D117">
        <v>1.5</v>
      </c>
      <c r="E117">
        <v>2</v>
      </c>
      <c r="F117">
        <v>1105</v>
      </c>
      <c r="G117">
        <v>98.410003662109375</v>
      </c>
      <c r="H117" s="3">
        <v>1</v>
      </c>
      <c r="I117" s="3">
        <v>6</v>
      </c>
      <c r="J117" s="3">
        <v>0</v>
      </c>
      <c r="K117" s="3">
        <f t="shared" si="7"/>
        <v>6.5</v>
      </c>
      <c r="L117" s="3">
        <f t="shared" si="8"/>
        <v>2.213863719593395</v>
      </c>
      <c r="M117" s="3">
        <v>45</v>
      </c>
      <c r="N117" s="3">
        <f t="shared" si="9"/>
        <v>0.98584440527356343</v>
      </c>
      <c r="O117" s="3">
        <f t="shared" si="10"/>
        <v>0.97222222222222221</v>
      </c>
      <c r="P117" s="4">
        <f t="shared" si="11"/>
        <v>8.4580666274957856</v>
      </c>
      <c r="AX117">
        <v>1116</v>
      </c>
    </row>
    <row r="118" spans="1:50">
      <c r="A118" s="1">
        <v>1117</v>
      </c>
      <c r="B118" s="1">
        <f t="shared" si="6"/>
        <v>2.25</v>
      </c>
      <c r="C118">
        <v>2.25</v>
      </c>
      <c r="D118">
        <v>2.25</v>
      </c>
      <c r="E118">
        <v>2.25</v>
      </c>
      <c r="F118">
        <v>1105</v>
      </c>
      <c r="G118">
        <v>98.410003662109375</v>
      </c>
      <c r="H118" s="3">
        <v>1</v>
      </c>
      <c r="I118" s="3">
        <v>6</v>
      </c>
      <c r="J118" s="3">
        <v>0</v>
      </c>
      <c r="K118" s="3">
        <f t="shared" si="7"/>
        <v>6</v>
      </c>
      <c r="L118" s="3">
        <f t="shared" si="8"/>
        <v>2.1854546286843042</v>
      </c>
      <c r="M118" s="3">
        <v>45</v>
      </c>
      <c r="N118" s="3">
        <f t="shared" si="9"/>
        <v>0.99988427486226994</v>
      </c>
      <c r="O118" s="3">
        <f t="shared" si="10"/>
        <v>0.95659722222222221</v>
      </c>
      <c r="P118" s="4">
        <f t="shared" si="11"/>
        <v>7.9564814970844919</v>
      </c>
      <c r="AX118">
        <v>1117</v>
      </c>
    </row>
    <row r="119" spans="1:50">
      <c r="A119" s="1">
        <v>1118</v>
      </c>
      <c r="B119" s="1">
        <f t="shared" si="6"/>
        <v>3</v>
      </c>
      <c r="C119">
        <v>2.5</v>
      </c>
      <c r="D119">
        <v>1</v>
      </c>
      <c r="E119">
        <v>1.5</v>
      </c>
      <c r="F119">
        <v>1105</v>
      </c>
      <c r="G119">
        <v>98.410003662109375</v>
      </c>
      <c r="H119" s="3">
        <v>1</v>
      </c>
      <c r="I119" s="3">
        <v>6</v>
      </c>
      <c r="J119" s="3">
        <v>0</v>
      </c>
      <c r="K119" s="3">
        <f t="shared" si="7"/>
        <v>6.5</v>
      </c>
      <c r="L119" s="3">
        <f t="shared" si="8"/>
        <v>2.1797728105024858</v>
      </c>
      <c r="M119" s="3">
        <v>45</v>
      </c>
      <c r="N119" s="3">
        <f t="shared" si="9"/>
        <v>0.96133711432219626</v>
      </c>
      <c r="O119" s="3">
        <f t="shared" si="10"/>
        <v>0.99305555555555558</v>
      </c>
      <c r="P119" s="4">
        <f t="shared" si="11"/>
        <v>8.4543926698777518</v>
      </c>
      <c r="AX119">
        <v>1118</v>
      </c>
    </row>
    <row r="120" spans="1:50">
      <c r="A120" s="1">
        <v>1119</v>
      </c>
      <c r="B120" s="1">
        <f t="shared" si="6"/>
        <v>3.75</v>
      </c>
      <c r="C120">
        <v>3.25</v>
      </c>
      <c r="D120">
        <v>2</v>
      </c>
      <c r="E120">
        <v>1.5</v>
      </c>
      <c r="F120">
        <v>1105</v>
      </c>
      <c r="G120">
        <v>98.410003662109375</v>
      </c>
      <c r="H120" s="3">
        <v>1</v>
      </c>
      <c r="I120" s="3">
        <v>6</v>
      </c>
      <c r="J120" s="3">
        <v>0</v>
      </c>
      <c r="K120" s="3">
        <f t="shared" si="7"/>
        <v>6.5</v>
      </c>
      <c r="L120" s="3">
        <f t="shared" si="8"/>
        <v>2.1627273559570313</v>
      </c>
      <c r="M120" s="3">
        <v>45</v>
      </c>
      <c r="N120" s="3">
        <f t="shared" si="9"/>
        <v>0.99926443910064533</v>
      </c>
      <c r="O120" s="3">
        <f t="shared" si="10"/>
        <v>0.99305555555555558</v>
      </c>
      <c r="P120" s="4">
        <f t="shared" si="11"/>
        <v>8.4923199946562011</v>
      </c>
      <c r="AX120">
        <v>1119</v>
      </c>
    </row>
    <row r="121" spans="1:50">
      <c r="A121" s="1">
        <v>1120</v>
      </c>
      <c r="B121" s="1">
        <f t="shared" si="6"/>
        <v>4.5</v>
      </c>
      <c r="C121">
        <v>1</v>
      </c>
      <c r="D121">
        <v>1.9</v>
      </c>
      <c r="E121">
        <v>2.1</v>
      </c>
      <c r="F121">
        <v>1105</v>
      </c>
      <c r="G121">
        <v>98.410003662109375</v>
      </c>
      <c r="H121" s="3">
        <v>1</v>
      </c>
      <c r="I121" s="3">
        <v>6</v>
      </c>
      <c r="J121" s="3">
        <v>0</v>
      </c>
      <c r="K121" s="3">
        <f t="shared" si="7"/>
        <v>9.5</v>
      </c>
      <c r="L121" s="3">
        <f t="shared" si="8"/>
        <v>2.213863719593395</v>
      </c>
      <c r="M121" s="3">
        <v>45</v>
      </c>
      <c r="N121" s="3">
        <f t="shared" si="9"/>
        <v>0.99726359904230555</v>
      </c>
      <c r="O121" s="3">
        <f t="shared" si="10"/>
        <v>0.96638888888888885</v>
      </c>
      <c r="P121" s="4">
        <f t="shared" si="11"/>
        <v>11.463652487931194</v>
      </c>
      <c r="AX121">
        <v>1120</v>
      </c>
    </row>
    <row r="122" spans="1:50">
      <c r="A122" s="1">
        <v>1121</v>
      </c>
      <c r="B122" s="1">
        <f t="shared" si="6"/>
        <v>1.5</v>
      </c>
      <c r="C122">
        <v>0.5</v>
      </c>
      <c r="D122">
        <v>1.25</v>
      </c>
      <c r="E122">
        <v>1.75</v>
      </c>
      <c r="F122">
        <v>1105</v>
      </c>
      <c r="G122">
        <v>98.410003662109375</v>
      </c>
      <c r="H122" s="3">
        <v>1</v>
      </c>
      <c r="I122" s="3">
        <v>6</v>
      </c>
      <c r="J122" s="3">
        <v>0</v>
      </c>
      <c r="K122" s="3">
        <f t="shared" si="7"/>
        <v>7</v>
      </c>
      <c r="L122" s="3">
        <f t="shared" si="8"/>
        <v>2.2252273559570313</v>
      </c>
      <c r="M122" s="3">
        <v>45</v>
      </c>
      <c r="N122" s="3">
        <f t="shared" si="9"/>
        <v>0.97358143344980719</v>
      </c>
      <c r="O122" s="3">
        <f t="shared" si="10"/>
        <v>0.984375</v>
      </c>
      <c r="P122" s="4">
        <f t="shared" si="11"/>
        <v>8.957956433449807</v>
      </c>
      <c r="AX122">
        <v>1121</v>
      </c>
    </row>
    <row r="123" spans="1:50">
      <c r="A123" s="1">
        <v>1122</v>
      </c>
      <c r="B123" s="1">
        <f t="shared" si="6"/>
        <v>2.25</v>
      </c>
      <c r="C123">
        <v>2</v>
      </c>
      <c r="D123">
        <v>1</v>
      </c>
      <c r="E123">
        <v>6</v>
      </c>
      <c r="F123">
        <v>1105</v>
      </c>
      <c r="G123">
        <v>98.410003662109375</v>
      </c>
      <c r="H123" s="3">
        <v>1</v>
      </c>
      <c r="I123" s="3">
        <v>6</v>
      </c>
      <c r="J123" s="3">
        <v>0</v>
      </c>
      <c r="K123" s="3">
        <f t="shared" si="7"/>
        <v>6.25</v>
      </c>
      <c r="L123" s="3">
        <f t="shared" si="8"/>
        <v>2.1911364468661221</v>
      </c>
      <c r="M123" s="3">
        <v>45</v>
      </c>
      <c r="N123" s="3">
        <f t="shared" si="9"/>
        <v>0.9605887212485319</v>
      </c>
      <c r="O123" s="3">
        <f t="shared" si="10"/>
        <v>0.30555555555555558</v>
      </c>
      <c r="P123" s="4">
        <f t="shared" si="11"/>
        <v>7.5161442768040869</v>
      </c>
      <c r="AX123">
        <v>1122</v>
      </c>
    </row>
    <row r="124" spans="1:50">
      <c r="A124" s="1">
        <v>1123</v>
      </c>
      <c r="B124" s="1">
        <f t="shared" si="6"/>
        <v>3</v>
      </c>
      <c r="C124">
        <v>3</v>
      </c>
      <c r="D124">
        <v>3</v>
      </c>
      <c r="E124">
        <v>4</v>
      </c>
      <c r="F124">
        <v>1105</v>
      </c>
      <c r="G124">
        <v>98.410003662109375</v>
      </c>
      <c r="H124" s="3">
        <v>1</v>
      </c>
      <c r="I124" s="3">
        <v>6</v>
      </c>
      <c r="J124" s="3">
        <v>0</v>
      </c>
      <c r="K124" s="3">
        <f t="shared" si="7"/>
        <v>6</v>
      </c>
      <c r="L124" s="3">
        <f t="shared" si="8"/>
        <v>2.1684091741388496</v>
      </c>
      <c r="M124" s="3">
        <v>45</v>
      </c>
      <c r="N124" s="3">
        <f t="shared" si="9"/>
        <v>0.98079046384287694</v>
      </c>
      <c r="O124" s="3">
        <f t="shared" si="10"/>
        <v>0.75</v>
      </c>
      <c r="P124" s="4">
        <f t="shared" si="11"/>
        <v>7.7307904638428768</v>
      </c>
      <c r="AX124">
        <v>1123</v>
      </c>
    </row>
    <row r="125" spans="1:50">
      <c r="A125" s="1">
        <v>1124</v>
      </c>
      <c r="B125" s="1">
        <f t="shared" si="6"/>
        <v>3.75</v>
      </c>
      <c r="C125">
        <v>3</v>
      </c>
      <c r="D125">
        <v>3.5</v>
      </c>
      <c r="E125">
        <v>3</v>
      </c>
      <c r="F125">
        <v>1105</v>
      </c>
      <c r="G125">
        <v>98.410003662109375</v>
      </c>
      <c r="H125" s="3">
        <v>1</v>
      </c>
      <c r="I125" s="3">
        <v>6</v>
      </c>
      <c r="J125" s="3">
        <v>0</v>
      </c>
      <c r="K125" s="3">
        <f t="shared" si="7"/>
        <v>6.75</v>
      </c>
      <c r="L125" s="3">
        <f t="shared" si="8"/>
        <v>2.1684091741388496</v>
      </c>
      <c r="M125" s="3">
        <v>45</v>
      </c>
      <c r="N125" s="3">
        <f t="shared" si="9"/>
        <v>0.95074627423562275</v>
      </c>
      <c r="O125" s="3">
        <f t="shared" si="10"/>
        <v>0.88888888888888884</v>
      </c>
      <c r="P125" s="4">
        <f t="shared" si="11"/>
        <v>8.5896351631245125</v>
      </c>
      <c r="AX125">
        <v>1124</v>
      </c>
    </row>
    <row r="126" spans="1:50">
      <c r="A126" s="1">
        <v>1125</v>
      </c>
      <c r="B126" s="1">
        <f t="shared" si="6"/>
        <v>4.5</v>
      </c>
      <c r="C126">
        <v>1</v>
      </c>
      <c r="D126">
        <v>1.5</v>
      </c>
      <c r="E126">
        <v>3</v>
      </c>
      <c r="F126">
        <v>1105</v>
      </c>
      <c r="G126">
        <v>98.410003662109375</v>
      </c>
      <c r="H126" s="3">
        <v>1</v>
      </c>
      <c r="I126" s="3">
        <v>6</v>
      </c>
      <c r="J126" s="3">
        <v>0</v>
      </c>
      <c r="K126" s="3">
        <f t="shared" si="7"/>
        <v>9.5</v>
      </c>
      <c r="L126" s="3">
        <f t="shared" si="8"/>
        <v>2.213863719593395</v>
      </c>
      <c r="M126" s="3">
        <v>45</v>
      </c>
      <c r="N126" s="3">
        <f t="shared" si="9"/>
        <v>0.98584440527356343</v>
      </c>
      <c r="O126" s="3">
        <f t="shared" si="10"/>
        <v>0.88888888888888884</v>
      </c>
      <c r="P126" s="4">
        <f t="shared" si="11"/>
        <v>11.374733294162453</v>
      </c>
      <c r="AX126">
        <v>1125</v>
      </c>
    </row>
    <row r="127" spans="1:50">
      <c r="A127" s="1">
        <v>1126</v>
      </c>
      <c r="B127" s="1">
        <f t="shared" si="6"/>
        <v>1.5</v>
      </c>
      <c r="C127">
        <v>1</v>
      </c>
      <c r="D127">
        <v>1</v>
      </c>
      <c r="E127">
        <v>4.5</v>
      </c>
      <c r="F127">
        <v>1105</v>
      </c>
      <c r="G127">
        <v>98.410003662109375</v>
      </c>
      <c r="H127" s="3">
        <v>1</v>
      </c>
      <c r="I127" s="3">
        <v>6</v>
      </c>
      <c r="J127" s="3">
        <v>0</v>
      </c>
      <c r="K127" s="3">
        <f t="shared" si="7"/>
        <v>6.5</v>
      </c>
      <c r="L127" s="3">
        <f t="shared" si="8"/>
        <v>2.213863719593395</v>
      </c>
      <c r="M127" s="3">
        <v>45</v>
      </c>
      <c r="N127" s="3">
        <f t="shared" si="9"/>
        <v>0.95907041306263574</v>
      </c>
      <c r="O127" s="3">
        <f t="shared" si="10"/>
        <v>0.65972222222222232</v>
      </c>
      <c r="P127" s="4">
        <f t="shared" si="11"/>
        <v>8.1187926352848585</v>
      </c>
      <c r="AX127">
        <v>1126</v>
      </c>
    </row>
    <row r="128" spans="1:50">
      <c r="A128" s="1">
        <v>1127</v>
      </c>
      <c r="B128" s="1">
        <f t="shared" si="6"/>
        <v>2.25</v>
      </c>
      <c r="C128">
        <v>0.25</v>
      </c>
      <c r="D128">
        <v>1</v>
      </c>
      <c r="E128">
        <v>6</v>
      </c>
      <c r="F128">
        <v>1105</v>
      </c>
      <c r="G128">
        <v>98.410003662109375</v>
      </c>
      <c r="H128" s="3">
        <v>1</v>
      </c>
      <c r="I128" s="3">
        <v>6</v>
      </c>
      <c r="J128" s="3">
        <v>0</v>
      </c>
      <c r="K128" s="3">
        <f t="shared" si="7"/>
        <v>8</v>
      </c>
      <c r="L128" s="3">
        <f t="shared" si="8"/>
        <v>2.2309091741388496</v>
      </c>
      <c r="M128" s="3">
        <v>45</v>
      </c>
      <c r="N128" s="3">
        <f t="shared" si="9"/>
        <v>0.95791285013946714</v>
      </c>
      <c r="O128" s="3">
        <f t="shared" si="10"/>
        <v>0.30555555555555558</v>
      </c>
      <c r="P128" s="4">
        <f t="shared" si="11"/>
        <v>9.2634684056950221</v>
      </c>
      <c r="AX128">
        <v>1127</v>
      </c>
    </row>
    <row r="129" spans="1:50">
      <c r="A129" s="1">
        <v>1128</v>
      </c>
      <c r="B129" s="1">
        <f t="shared" si="6"/>
        <v>3</v>
      </c>
      <c r="C129">
        <v>2</v>
      </c>
      <c r="D129">
        <v>2</v>
      </c>
      <c r="E129">
        <v>3</v>
      </c>
      <c r="F129">
        <v>1105</v>
      </c>
      <c r="G129">
        <v>98.410003662109375</v>
      </c>
      <c r="H129" s="3">
        <v>1</v>
      </c>
      <c r="I129" s="3">
        <v>6</v>
      </c>
      <c r="J129" s="3">
        <v>0</v>
      </c>
      <c r="K129" s="3">
        <f t="shared" si="7"/>
        <v>7</v>
      </c>
      <c r="L129" s="3">
        <f t="shared" si="8"/>
        <v>2.1911364468661221</v>
      </c>
      <c r="M129" s="3">
        <v>45</v>
      </c>
      <c r="N129" s="3">
        <f t="shared" si="9"/>
        <v>0.99898519051887202</v>
      </c>
      <c r="O129" s="3">
        <f t="shared" si="10"/>
        <v>0.88888888888888884</v>
      </c>
      <c r="P129" s="4">
        <f t="shared" si="11"/>
        <v>8.8878740794077604</v>
      </c>
      <c r="AX129">
        <v>1128</v>
      </c>
    </row>
    <row r="130" spans="1:50">
      <c r="A130" s="1">
        <v>1129</v>
      </c>
      <c r="B130" s="1">
        <f t="shared" si="6"/>
        <v>3.75</v>
      </c>
      <c r="C130">
        <v>3</v>
      </c>
      <c r="D130">
        <v>3</v>
      </c>
      <c r="E130">
        <v>3</v>
      </c>
      <c r="F130">
        <v>1105</v>
      </c>
      <c r="G130">
        <v>98.410003662109375</v>
      </c>
      <c r="H130" s="3">
        <v>1</v>
      </c>
      <c r="I130" s="3">
        <v>6</v>
      </c>
      <c r="J130" s="3">
        <v>0</v>
      </c>
      <c r="K130" s="3">
        <f t="shared" si="7"/>
        <v>6.75</v>
      </c>
      <c r="L130" s="3">
        <f t="shared" si="8"/>
        <v>2.1684091741388496</v>
      </c>
      <c r="M130" s="3">
        <v>45</v>
      </c>
      <c r="N130" s="3">
        <f t="shared" si="9"/>
        <v>0.98079046384287694</v>
      </c>
      <c r="O130" s="3">
        <f t="shared" si="10"/>
        <v>0.88888888888888884</v>
      </c>
      <c r="P130" s="4">
        <f t="shared" si="11"/>
        <v>8.6196793527317652</v>
      </c>
      <c r="AX130">
        <v>1129</v>
      </c>
    </row>
    <row r="131" spans="1:50">
      <c r="A131" s="1">
        <v>1130</v>
      </c>
      <c r="B131" s="1">
        <f t="shared" ref="B131:B194" si="12">IF(MOD(A131,5)=0,4.5,MOD(A131,5)*0.75+0.75)</f>
        <v>4.5</v>
      </c>
      <c r="C131">
        <v>1</v>
      </c>
      <c r="D131">
        <v>1</v>
      </c>
      <c r="E131">
        <v>1</v>
      </c>
      <c r="F131">
        <v>1105</v>
      </c>
      <c r="G131">
        <v>98.410003662109375</v>
      </c>
      <c r="H131" s="3">
        <v>1</v>
      </c>
      <c r="I131" s="3">
        <v>6</v>
      </c>
      <c r="J131" s="3">
        <v>0</v>
      </c>
      <c r="K131" s="3">
        <f t="shared" ref="K131:K194" si="13">I131+H131*(B131-C131+J131)</f>
        <v>9.5</v>
      </c>
      <c r="L131" s="3">
        <f t="shared" si="8"/>
        <v>2.213863719593395</v>
      </c>
      <c r="M131" s="3">
        <v>45</v>
      </c>
      <c r="N131" s="3">
        <f t="shared" ref="N131:N194" si="14">1-1/36*((D131-L131)^2)</f>
        <v>0.95907041306263574</v>
      </c>
      <c r="O131" s="3">
        <f t="shared" ref="O131:O194" si="15">1-1/36*((E131-1)^2)</f>
        <v>1</v>
      </c>
      <c r="P131" s="4">
        <f t="shared" ref="P131:P194" si="16">K131+N131+O131</f>
        <v>11.459070413062635</v>
      </c>
      <c r="AX131">
        <v>1130</v>
      </c>
    </row>
    <row r="132" spans="1:50">
      <c r="A132" s="1">
        <v>1131</v>
      </c>
      <c r="B132" s="1">
        <f t="shared" si="12"/>
        <v>1.5</v>
      </c>
      <c r="C132">
        <v>2</v>
      </c>
      <c r="D132">
        <v>3.5</v>
      </c>
      <c r="E132">
        <v>3</v>
      </c>
      <c r="F132">
        <v>1105</v>
      </c>
      <c r="G132">
        <v>98.410003662109375</v>
      </c>
      <c r="H132" s="3">
        <v>1</v>
      </c>
      <c r="I132" s="3">
        <v>6</v>
      </c>
      <c r="J132" s="3">
        <v>0</v>
      </c>
      <c r="K132" s="3">
        <f t="shared" si="13"/>
        <v>5.5</v>
      </c>
      <c r="L132" s="3">
        <f t="shared" si="8"/>
        <v>2.1911364468661221</v>
      </c>
      <c r="M132" s="3">
        <v>45</v>
      </c>
      <c r="N132" s="3">
        <f t="shared" si="14"/>
        <v>0.95241322775771553</v>
      </c>
      <c r="O132" s="3">
        <f t="shared" si="15"/>
        <v>0.88888888888888884</v>
      </c>
      <c r="P132" s="4">
        <f t="shared" si="16"/>
        <v>7.3413021166466041</v>
      </c>
      <c r="AX132">
        <v>1131</v>
      </c>
    </row>
    <row r="133" spans="1:50">
      <c r="A133" s="1">
        <v>1132</v>
      </c>
      <c r="B133" s="1">
        <f t="shared" si="12"/>
        <v>2.25</v>
      </c>
      <c r="C133">
        <v>2</v>
      </c>
      <c r="D133">
        <v>4.2</v>
      </c>
      <c r="E133">
        <v>3</v>
      </c>
      <c r="F133">
        <v>1105</v>
      </c>
      <c r="G133">
        <v>98.410003662109375</v>
      </c>
      <c r="H133" s="3">
        <v>1</v>
      </c>
      <c r="I133" s="3">
        <v>6</v>
      </c>
      <c r="J133" s="3">
        <v>0</v>
      </c>
      <c r="K133" s="3">
        <f t="shared" si="13"/>
        <v>6.25</v>
      </c>
      <c r="L133" s="3">
        <f t="shared" si="8"/>
        <v>2.1911364468661221</v>
      </c>
      <c r="M133" s="3">
        <v>45</v>
      </c>
      <c r="N133" s="3">
        <f t="shared" si="14"/>
        <v>0.88790186735806476</v>
      </c>
      <c r="O133" s="3">
        <f t="shared" si="15"/>
        <v>0.88888888888888884</v>
      </c>
      <c r="P133" s="4">
        <f t="shared" si="16"/>
        <v>8.0267907562469532</v>
      </c>
      <c r="AX133">
        <v>1132</v>
      </c>
    </row>
    <row r="134" spans="1:50">
      <c r="A134" s="1">
        <v>1133</v>
      </c>
      <c r="B134" s="1">
        <f t="shared" si="12"/>
        <v>3</v>
      </c>
      <c r="C134">
        <v>1.5</v>
      </c>
      <c r="D134">
        <v>6</v>
      </c>
      <c r="E134">
        <v>6</v>
      </c>
      <c r="F134">
        <v>1105</v>
      </c>
      <c r="G134">
        <v>98.410003662109375</v>
      </c>
      <c r="H134" s="3">
        <v>1</v>
      </c>
      <c r="I134" s="3">
        <v>6</v>
      </c>
      <c r="J134" s="3">
        <v>0</v>
      </c>
      <c r="K134" s="3">
        <f t="shared" si="13"/>
        <v>7.5</v>
      </c>
      <c r="L134" s="3">
        <f t="shared" si="8"/>
        <v>2.2025000832297583</v>
      </c>
      <c r="M134" s="3">
        <v>45</v>
      </c>
      <c r="N134" s="3">
        <f t="shared" si="14"/>
        <v>0.59941651061472245</v>
      </c>
      <c r="O134" s="3">
        <f t="shared" si="15"/>
        <v>0.30555555555555558</v>
      </c>
      <c r="P134" s="4">
        <f t="shared" si="16"/>
        <v>8.4049720661702771</v>
      </c>
      <c r="AX134">
        <v>1133</v>
      </c>
    </row>
    <row r="135" spans="1:50">
      <c r="A135" s="1">
        <v>1134</v>
      </c>
      <c r="B135" s="1">
        <f t="shared" si="12"/>
        <v>3.75</v>
      </c>
      <c r="C135">
        <v>4</v>
      </c>
      <c r="D135">
        <v>3</v>
      </c>
      <c r="E135">
        <v>4</v>
      </c>
      <c r="F135">
        <v>1105</v>
      </c>
      <c r="G135">
        <v>98.410003662109375</v>
      </c>
      <c r="H135" s="3">
        <v>1</v>
      </c>
      <c r="I135" s="3">
        <v>6</v>
      </c>
      <c r="J135" s="3">
        <v>0</v>
      </c>
      <c r="K135" s="3">
        <f t="shared" si="13"/>
        <v>5.75</v>
      </c>
      <c r="L135" s="3">
        <f t="shared" si="8"/>
        <v>2.1456819014115767</v>
      </c>
      <c r="M135" s="3">
        <v>45</v>
      </c>
      <c r="N135" s="3">
        <f t="shared" si="14"/>
        <v>0.97972612740067389</v>
      </c>
      <c r="O135" s="3">
        <f t="shared" si="15"/>
        <v>0.75</v>
      </c>
      <c r="P135" s="4">
        <f t="shared" si="16"/>
        <v>7.4797261274006743</v>
      </c>
      <c r="AX135">
        <v>1134</v>
      </c>
    </row>
    <row r="136" spans="1:50">
      <c r="A136" s="1">
        <v>1135</v>
      </c>
      <c r="B136" s="1">
        <f t="shared" si="12"/>
        <v>4.5</v>
      </c>
      <c r="C136">
        <v>3</v>
      </c>
      <c r="D136">
        <v>3</v>
      </c>
      <c r="E136">
        <v>3</v>
      </c>
      <c r="F136">
        <v>1105</v>
      </c>
      <c r="G136">
        <v>98.410003662109375</v>
      </c>
      <c r="H136" s="3">
        <v>1</v>
      </c>
      <c r="I136" s="3">
        <v>6</v>
      </c>
      <c r="J136" s="3">
        <v>0</v>
      </c>
      <c r="K136" s="3">
        <f t="shared" si="13"/>
        <v>7.5</v>
      </c>
      <c r="L136" s="3">
        <f t="shared" si="8"/>
        <v>2.1684091741388496</v>
      </c>
      <c r="M136" s="3">
        <v>45</v>
      </c>
      <c r="N136" s="3">
        <f t="shared" si="14"/>
        <v>0.98079046384287694</v>
      </c>
      <c r="O136" s="3">
        <f t="shared" si="15"/>
        <v>0.88888888888888884</v>
      </c>
      <c r="P136" s="4">
        <f t="shared" si="16"/>
        <v>9.369679352731767</v>
      </c>
      <c r="AX136">
        <v>1135</v>
      </c>
    </row>
    <row r="137" spans="1:50">
      <c r="A137" s="1">
        <v>1136</v>
      </c>
      <c r="B137" s="1">
        <f t="shared" si="12"/>
        <v>1.5</v>
      </c>
      <c r="C137">
        <v>2</v>
      </c>
      <c r="D137">
        <v>2</v>
      </c>
      <c r="E137">
        <v>2</v>
      </c>
      <c r="F137">
        <v>1105</v>
      </c>
      <c r="G137">
        <v>98.410003662109375</v>
      </c>
      <c r="H137" s="3">
        <v>1</v>
      </c>
      <c r="I137" s="3">
        <v>6</v>
      </c>
      <c r="J137" s="3">
        <v>0</v>
      </c>
      <c r="K137" s="3">
        <f t="shared" si="13"/>
        <v>5.5</v>
      </c>
      <c r="L137" s="3">
        <f t="shared" si="8"/>
        <v>2.1911364468661221</v>
      </c>
      <c r="M137" s="3">
        <v>45</v>
      </c>
      <c r="N137" s="3">
        <f t="shared" si="14"/>
        <v>0.99898519051887202</v>
      </c>
      <c r="O137" s="3">
        <f t="shared" si="15"/>
        <v>0.97222222222222221</v>
      </c>
      <c r="P137" s="4">
        <f t="shared" si="16"/>
        <v>7.4712074127410943</v>
      </c>
      <c r="AX137">
        <v>1136</v>
      </c>
    </row>
    <row r="138" spans="1:50" s="6" customFormat="1">
      <c r="A138" s="5">
        <v>1137</v>
      </c>
      <c r="B138" s="5">
        <f t="shared" si="12"/>
        <v>2.25</v>
      </c>
      <c r="C138" s="6">
        <v>4</v>
      </c>
      <c r="D138" s="6">
        <v>2</v>
      </c>
      <c r="E138" s="6">
        <v>2</v>
      </c>
      <c r="F138" s="6">
        <v>1105</v>
      </c>
      <c r="G138" s="6">
        <v>98.410003662109375</v>
      </c>
      <c r="H138" s="6">
        <v>1</v>
      </c>
      <c r="I138" s="6">
        <v>6</v>
      </c>
      <c r="J138" s="6">
        <v>0</v>
      </c>
      <c r="K138" s="6">
        <f t="shared" si="13"/>
        <v>4.25</v>
      </c>
      <c r="L138" s="6">
        <f t="shared" si="8"/>
        <v>2.1456819014115767</v>
      </c>
      <c r="M138" s="6">
        <v>45</v>
      </c>
      <c r="N138" s="6">
        <f t="shared" si="14"/>
        <v>0.99941046621114193</v>
      </c>
      <c r="O138" s="6">
        <f t="shared" si="15"/>
        <v>0.97222222222222221</v>
      </c>
      <c r="P138" s="7">
        <f t="shared" si="16"/>
        <v>6.2216326884333641</v>
      </c>
      <c r="AX138" s="6">
        <v>1137</v>
      </c>
    </row>
    <row r="139" spans="1:50">
      <c r="A139" s="1">
        <v>1138</v>
      </c>
      <c r="B139" s="1">
        <f t="shared" si="12"/>
        <v>3</v>
      </c>
      <c r="C139">
        <v>3.5</v>
      </c>
      <c r="D139">
        <v>2</v>
      </c>
      <c r="E139">
        <v>3</v>
      </c>
      <c r="F139">
        <v>1105</v>
      </c>
      <c r="G139">
        <v>98.410003662109375</v>
      </c>
      <c r="H139" s="3">
        <v>1</v>
      </c>
      <c r="I139" s="3">
        <v>6</v>
      </c>
      <c r="J139" s="3">
        <v>0</v>
      </c>
      <c r="K139" s="3">
        <f t="shared" si="13"/>
        <v>5.5</v>
      </c>
      <c r="L139" s="3">
        <f t="shared" si="8"/>
        <v>2.1570455377752129</v>
      </c>
      <c r="M139" s="3">
        <v>45</v>
      </c>
      <c r="N139" s="3">
        <f t="shared" si="14"/>
        <v>0.99931490830735814</v>
      </c>
      <c r="O139" s="3">
        <f t="shared" si="15"/>
        <v>0.88888888888888884</v>
      </c>
      <c r="P139" s="4">
        <f t="shared" si="16"/>
        <v>7.3882037971962475</v>
      </c>
      <c r="AX139">
        <v>1138</v>
      </c>
    </row>
    <row r="140" spans="1:50">
      <c r="A140" s="1">
        <v>1139</v>
      </c>
      <c r="B140" s="1">
        <f t="shared" si="12"/>
        <v>3.75</v>
      </c>
      <c r="C140">
        <v>1</v>
      </c>
      <c r="D140">
        <v>1</v>
      </c>
      <c r="E140">
        <v>1.5</v>
      </c>
      <c r="F140">
        <v>1105</v>
      </c>
      <c r="G140">
        <v>98.410003662109375</v>
      </c>
      <c r="H140" s="3">
        <v>1</v>
      </c>
      <c r="I140" s="3">
        <v>6</v>
      </c>
      <c r="J140" s="3">
        <v>0</v>
      </c>
      <c r="K140" s="3">
        <f t="shared" si="13"/>
        <v>8.75</v>
      </c>
      <c r="L140" s="3">
        <f t="shared" si="8"/>
        <v>2.213863719593395</v>
      </c>
      <c r="M140" s="3">
        <v>45</v>
      </c>
      <c r="N140" s="3">
        <f t="shared" si="14"/>
        <v>0.95907041306263574</v>
      </c>
      <c r="O140" s="3">
        <f t="shared" si="15"/>
        <v>0.99305555555555558</v>
      </c>
      <c r="P140" s="4">
        <f t="shared" si="16"/>
        <v>10.702125968618191</v>
      </c>
      <c r="AX140">
        <v>1139</v>
      </c>
    </row>
    <row r="141" spans="1:50">
      <c r="A141" s="1">
        <v>1140</v>
      </c>
      <c r="B141" s="1">
        <f t="shared" si="12"/>
        <v>4.5</v>
      </c>
      <c r="C141">
        <v>4.5</v>
      </c>
      <c r="D141">
        <v>1.3</v>
      </c>
      <c r="E141">
        <v>3</v>
      </c>
      <c r="F141">
        <v>1105</v>
      </c>
      <c r="G141">
        <v>98.410003662109375</v>
      </c>
      <c r="H141" s="3">
        <v>1</v>
      </c>
      <c r="I141" s="3">
        <v>6</v>
      </c>
      <c r="J141" s="3">
        <v>0</v>
      </c>
      <c r="K141" s="3">
        <f t="shared" si="13"/>
        <v>6</v>
      </c>
      <c r="L141" s="3">
        <f t="shared" si="8"/>
        <v>2.1343182650479404</v>
      </c>
      <c r="M141" s="3">
        <v>45</v>
      </c>
      <c r="N141" s="3">
        <f t="shared" si="14"/>
        <v>0.98066425090576093</v>
      </c>
      <c r="O141" s="3">
        <f t="shared" si="15"/>
        <v>0.88888888888888884</v>
      </c>
      <c r="P141" s="4">
        <f t="shared" si="16"/>
        <v>7.8695531397946503</v>
      </c>
      <c r="AX141">
        <v>1140</v>
      </c>
    </row>
    <row r="142" spans="1:50">
      <c r="A142" s="1">
        <v>1141</v>
      </c>
      <c r="B142" s="1">
        <f t="shared" si="12"/>
        <v>1.5</v>
      </c>
      <c r="C142">
        <v>1.5</v>
      </c>
      <c r="D142">
        <v>2.75</v>
      </c>
      <c r="E142">
        <v>3</v>
      </c>
      <c r="F142">
        <v>1105</v>
      </c>
      <c r="G142">
        <v>98.410003662109375</v>
      </c>
      <c r="H142" s="3">
        <v>1</v>
      </c>
      <c r="I142" s="3">
        <v>6</v>
      </c>
      <c r="J142" s="3">
        <v>0</v>
      </c>
      <c r="K142" s="3">
        <f t="shared" si="13"/>
        <v>6</v>
      </c>
      <c r="L142" s="3">
        <f t="shared" si="8"/>
        <v>2.2025000832297583</v>
      </c>
      <c r="M142" s="3">
        <v>45</v>
      </c>
      <c r="N142" s="3">
        <f t="shared" si="14"/>
        <v>0.99167344003157165</v>
      </c>
      <c r="O142" s="3">
        <f t="shared" si="15"/>
        <v>0.88888888888888884</v>
      </c>
      <c r="P142" s="4">
        <f t="shared" si="16"/>
        <v>7.88056232892046</v>
      </c>
      <c r="AX142">
        <v>1141</v>
      </c>
    </row>
    <row r="143" spans="1:50">
      <c r="A143" s="1">
        <v>1142</v>
      </c>
      <c r="B143" s="1">
        <f t="shared" si="12"/>
        <v>2.25</v>
      </c>
      <c r="C143">
        <v>0.75</v>
      </c>
      <c r="D143">
        <v>1.25</v>
      </c>
      <c r="E143">
        <v>1.25</v>
      </c>
      <c r="F143">
        <v>1105</v>
      </c>
      <c r="G143">
        <v>98.410003662109375</v>
      </c>
      <c r="H143" s="3">
        <v>1</v>
      </c>
      <c r="I143" s="3">
        <v>6</v>
      </c>
      <c r="J143" s="3">
        <v>0</v>
      </c>
      <c r="K143" s="3">
        <f t="shared" si="13"/>
        <v>7.5</v>
      </c>
      <c r="L143" s="3">
        <f t="shared" si="8"/>
        <v>2.2195455377752129</v>
      </c>
      <c r="M143" s="3">
        <v>45</v>
      </c>
      <c r="N143" s="3">
        <f t="shared" si="14"/>
        <v>0.97388837361611591</v>
      </c>
      <c r="O143" s="3">
        <f t="shared" si="15"/>
        <v>0.99826388888888884</v>
      </c>
      <c r="P143" s="4">
        <f t="shared" si="16"/>
        <v>9.4721522625050056</v>
      </c>
      <c r="AX143">
        <v>1142</v>
      </c>
    </row>
    <row r="144" spans="1:50">
      <c r="A144" s="1">
        <v>1143</v>
      </c>
      <c r="B144" s="1">
        <f t="shared" si="12"/>
        <v>3</v>
      </c>
      <c r="C144">
        <v>0.5</v>
      </c>
      <c r="D144">
        <v>1</v>
      </c>
      <c r="E144">
        <v>1</v>
      </c>
      <c r="F144">
        <v>1105</v>
      </c>
      <c r="G144">
        <v>98.410003662109375</v>
      </c>
      <c r="H144" s="3">
        <v>1</v>
      </c>
      <c r="I144" s="3">
        <v>6</v>
      </c>
      <c r="J144" s="3">
        <v>0</v>
      </c>
      <c r="K144" s="3">
        <f t="shared" si="13"/>
        <v>8.5</v>
      </c>
      <c r="L144" s="3">
        <f t="shared" si="8"/>
        <v>2.2252273559570313</v>
      </c>
      <c r="M144" s="3">
        <v>45</v>
      </c>
      <c r="N144" s="3">
        <f t="shared" si="14"/>
        <v>0.95830049795040395</v>
      </c>
      <c r="O144" s="3">
        <f t="shared" si="15"/>
        <v>1</v>
      </c>
      <c r="P144" s="4">
        <f t="shared" si="16"/>
        <v>10.458300497950404</v>
      </c>
      <c r="AX144">
        <v>1143</v>
      </c>
    </row>
    <row r="145" spans="1:50">
      <c r="A145" s="1">
        <v>1144</v>
      </c>
      <c r="B145" s="1">
        <f t="shared" si="12"/>
        <v>3.75</v>
      </c>
      <c r="C145">
        <v>0.01</v>
      </c>
      <c r="D145">
        <v>1</v>
      </c>
      <c r="E145">
        <v>3.75</v>
      </c>
      <c r="F145">
        <v>1105</v>
      </c>
      <c r="G145">
        <v>98.410003662109375</v>
      </c>
      <c r="H145" s="3">
        <v>1</v>
      </c>
      <c r="I145" s="3">
        <v>6</v>
      </c>
      <c r="J145" s="3">
        <v>0</v>
      </c>
      <c r="K145" s="3">
        <f t="shared" si="13"/>
        <v>9.74</v>
      </c>
      <c r="L145" s="3">
        <f t="shared" si="8"/>
        <v>2.236363719593395</v>
      </c>
      <c r="M145" s="3">
        <v>45</v>
      </c>
      <c r="N145" s="3">
        <f t="shared" si="14"/>
        <v>0.95753902091314402</v>
      </c>
      <c r="O145" s="3">
        <f t="shared" si="15"/>
        <v>0.78993055555555558</v>
      </c>
      <c r="P145" s="4">
        <f t="shared" si="16"/>
        <v>11.487469576468699</v>
      </c>
      <c r="AX145">
        <v>1144</v>
      </c>
    </row>
    <row r="146" spans="1:50">
      <c r="A146" s="1">
        <v>1145</v>
      </c>
      <c r="B146" s="1">
        <f t="shared" si="12"/>
        <v>4.5</v>
      </c>
      <c r="C146">
        <v>4</v>
      </c>
      <c r="D146">
        <v>3.5</v>
      </c>
      <c r="E146">
        <v>4</v>
      </c>
      <c r="F146">
        <v>1105</v>
      </c>
      <c r="G146">
        <v>98.410003662109375</v>
      </c>
      <c r="H146" s="3">
        <v>1</v>
      </c>
      <c r="I146" s="3">
        <v>6</v>
      </c>
      <c r="J146" s="3">
        <v>0</v>
      </c>
      <c r="K146" s="3">
        <f t="shared" si="13"/>
        <v>6.5</v>
      </c>
      <c r="L146" s="3">
        <f t="shared" si="8"/>
        <v>2.1456819014115767</v>
      </c>
      <c r="M146" s="3">
        <v>45</v>
      </c>
      <c r="N146" s="3">
        <f t="shared" si="14"/>
        <v>0.94905062466210666</v>
      </c>
      <c r="O146" s="3">
        <f t="shared" si="15"/>
        <v>0.75</v>
      </c>
      <c r="P146" s="4">
        <f t="shared" si="16"/>
        <v>8.1990506246621067</v>
      </c>
      <c r="AX146">
        <v>1145</v>
      </c>
    </row>
    <row r="147" spans="1:50">
      <c r="A147" s="1">
        <v>1146</v>
      </c>
      <c r="B147" s="1">
        <f t="shared" si="12"/>
        <v>1.5</v>
      </c>
      <c r="J147" s="3"/>
      <c r="K147" s="3"/>
      <c r="L147" s="3"/>
      <c r="N147" s="3"/>
      <c r="O147" s="3"/>
    </row>
    <row r="148" spans="1:50">
      <c r="A148" s="1">
        <v>1147</v>
      </c>
      <c r="B148" s="1">
        <f t="shared" si="12"/>
        <v>2.25</v>
      </c>
      <c r="J148" s="3"/>
      <c r="K148" s="3"/>
      <c r="L148" s="3"/>
      <c r="N148" s="3"/>
      <c r="O148" s="3"/>
    </row>
    <row r="149" spans="1:50">
      <c r="A149" s="1">
        <v>1148</v>
      </c>
      <c r="B149" s="1">
        <f t="shared" si="12"/>
        <v>3</v>
      </c>
      <c r="J149" s="3"/>
      <c r="K149" s="3"/>
      <c r="L149" s="3"/>
      <c r="N149" s="3"/>
      <c r="O149" s="3"/>
    </row>
    <row r="150" spans="1:50">
      <c r="A150" s="1">
        <v>1149</v>
      </c>
      <c r="B150" s="1">
        <f t="shared" si="12"/>
        <v>3.75</v>
      </c>
      <c r="J150" s="3"/>
      <c r="K150" s="3"/>
      <c r="L150" s="3"/>
      <c r="N150" s="3"/>
      <c r="O150" s="3"/>
    </row>
    <row r="151" spans="1:50">
      <c r="A151" s="1">
        <v>1150</v>
      </c>
      <c r="B151" s="1">
        <f t="shared" si="12"/>
        <v>4.5</v>
      </c>
      <c r="J151" s="3"/>
      <c r="K151" s="3"/>
      <c r="L151" s="3"/>
      <c r="N151" s="3"/>
      <c r="O151" s="3"/>
    </row>
    <row r="152" spans="1:50">
      <c r="A152" s="1">
        <v>1151</v>
      </c>
      <c r="B152" s="1">
        <f t="shared" si="12"/>
        <v>1.5</v>
      </c>
      <c r="J152" s="3"/>
      <c r="K152" s="3"/>
      <c r="L152" s="3"/>
      <c r="N152" s="3"/>
      <c r="O152" s="3"/>
    </row>
    <row r="153" spans="1:50">
      <c r="A153" s="1">
        <v>1152</v>
      </c>
      <c r="B153" s="1">
        <f t="shared" si="12"/>
        <v>2.25</v>
      </c>
      <c r="J153" s="3"/>
      <c r="K153" s="3"/>
      <c r="L153" s="3"/>
      <c r="N153" s="3"/>
      <c r="O153" s="3"/>
    </row>
    <row r="154" spans="1:50">
      <c r="A154" s="1">
        <v>1153</v>
      </c>
      <c r="B154" s="1">
        <f t="shared" si="12"/>
        <v>3</v>
      </c>
      <c r="J154" s="3"/>
      <c r="K154" s="3"/>
      <c r="L154" s="3"/>
      <c r="N154" s="3"/>
      <c r="O154" s="3"/>
    </row>
    <row r="155" spans="1:50">
      <c r="A155" s="1">
        <v>1154</v>
      </c>
      <c r="B155" s="1">
        <f t="shared" si="12"/>
        <v>3.75</v>
      </c>
      <c r="J155" s="3"/>
      <c r="K155" s="3"/>
      <c r="L155" s="3"/>
      <c r="N155" s="3"/>
      <c r="O155" s="3"/>
    </row>
    <row r="156" spans="1:50">
      <c r="A156" s="1">
        <v>1155</v>
      </c>
      <c r="B156" s="1">
        <f t="shared" si="12"/>
        <v>4.5</v>
      </c>
      <c r="J156" s="3"/>
      <c r="K156" s="3"/>
      <c r="L156" s="3"/>
      <c r="N156" s="3"/>
      <c r="O156" s="3"/>
    </row>
    <row r="157" spans="1:50">
      <c r="A157" s="1">
        <v>1156</v>
      </c>
      <c r="B157" s="1">
        <f t="shared" si="12"/>
        <v>1.5</v>
      </c>
      <c r="J157" s="3"/>
      <c r="K157" s="3"/>
      <c r="L157" s="3"/>
      <c r="N157" s="3"/>
      <c r="O157" s="3"/>
    </row>
    <row r="158" spans="1:50">
      <c r="A158" s="1">
        <v>1157</v>
      </c>
      <c r="B158" s="1">
        <f t="shared" si="12"/>
        <v>2.25</v>
      </c>
      <c r="J158" s="3"/>
      <c r="K158" s="3"/>
      <c r="L158" s="3"/>
      <c r="N158" s="3"/>
      <c r="O158" s="3"/>
    </row>
    <row r="159" spans="1:50">
      <c r="A159" s="1">
        <v>1158</v>
      </c>
      <c r="B159" s="1">
        <f t="shared" si="12"/>
        <v>3</v>
      </c>
      <c r="J159" s="3"/>
      <c r="K159" s="3"/>
      <c r="L159" s="3"/>
      <c r="N159" s="3"/>
      <c r="O159" s="3"/>
    </row>
    <row r="160" spans="1:50">
      <c r="A160" s="1">
        <v>1159</v>
      </c>
      <c r="B160" s="1">
        <f t="shared" si="12"/>
        <v>3.75</v>
      </c>
      <c r="J160" s="3"/>
      <c r="K160" s="3"/>
      <c r="L160" s="3"/>
      <c r="N160" s="3"/>
      <c r="O160" s="3"/>
    </row>
    <row r="161" spans="1:15">
      <c r="A161" s="1">
        <v>1160</v>
      </c>
      <c r="B161" s="1">
        <f t="shared" si="12"/>
        <v>4.5</v>
      </c>
      <c r="J161" s="3"/>
      <c r="K161" s="3"/>
      <c r="L161" s="3"/>
      <c r="N161" s="3"/>
      <c r="O161" s="3"/>
    </row>
    <row r="162" spans="1:15">
      <c r="A162" s="1">
        <v>1161</v>
      </c>
      <c r="B162" s="1">
        <f t="shared" si="12"/>
        <v>1.5</v>
      </c>
      <c r="J162" s="3"/>
      <c r="K162" s="3"/>
      <c r="L162" s="3"/>
      <c r="N162" s="3"/>
      <c r="O162" s="3"/>
    </row>
    <row r="163" spans="1:15">
      <c r="A163" s="1">
        <v>1162</v>
      </c>
      <c r="B163" s="1">
        <f t="shared" si="12"/>
        <v>2.25</v>
      </c>
      <c r="J163" s="3"/>
      <c r="K163" s="3"/>
      <c r="L163" s="3"/>
      <c r="N163" s="3"/>
      <c r="O163" s="3"/>
    </row>
    <row r="164" spans="1:15">
      <c r="A164" s="1">
        <v>1163</v>
      </c>
      <c r="B164" s="1">
        <f t="shared" si="12"/>
        <v>3</v>
      </c>
      <c r="J164" s="3"/>
      <c r="K164" s="3"/>
      <c r="L164" s="3"/>
      <c r="N164" s="3"/>
      <c r="O164" s="3"/>
    </row>
    <row r="165" spans="1:15">
      <c r="A165" s="1">
        <v>1164</v>
      </c>
      <c r="B165" s="1">
        <f t="shared" si="12"/>
        <v>3.75</v>
      </c>
      <c r="J165" s="3"/>
      <c r="K165" s="3"/>
      <c r="L165" s="3"/>
      <c r="N165" s="3"/>
      <c r="O165" s="3"/>
    </row>
    <row r="166" spans="1:15">
      <c r="A166" s="1">
        <v>1165</v>
      </c>
      <c r="B166" s="1">
        <f t="shared" si="12"/>
        <v>4.5</v>
      </c>
      <c r="J166" s="3"/>
      <c r="K166" s="3"/>
      <c r="L166" s="3"/>
      <c r="N166" s="3"/>
      <c r="O166" s="3"/>
    </row>
    <row r="167" spans="1:15">
      <c r="A167" s="1">
        <v>1166</v>
      </c>
      <c r="B167" s="1">
        <f t="shared" si="12"/>
        <v>1.5</v>
      </c>
      <c r="J167" s="3"/>
      <c r="K167" s="3"/>
      <c r="L167" s="3"/>
      <c r="N167" s="3"/>
      <c r="O167" s="3"/>
    </row>
    <row r="168" spans="1:15">
      <c r="A168" s="1">
        <v>1167</v>
      </c>
      <c r="B168" s="1">
        <f t="shared" si="12"/>
        <v>2.25</v>
      </c>
      <c r="J168" s="3"/>
      <c r="K168" s="3"/>
      <c r="L168" s="3"/>
      <c r="N168" s="3"/>
      <c r="O168" s="3"/>
    </row>
    <row r="169" spans="1:15">
      <c r="A169" s="1">
        <v>1168</v>
      </c>
      <c r="B169" s="1">
        <f t="shared" si="12"/>
        <v>3</v>
      </c>
      <c r="J169" s="3"/>
      <c r="K169" s="3"/>
      <c r="L169" s="3"/>
      <c r="N169" s="3"/>
      <c r="O169" s="3"/>
    </row>
    <row r="170" spans="1:15">
      <c r="A170" s="1">
        <v>1169</v>
      </c>
      <c r="B170" s="1">
        <f t="shared" si="12"/>
        <v>3.75</v>
      </c>
      <c r="J170" s="3"/>
      <c r="K170" s="3"/>
      <c r="L170" s="3"/>
      <c r="N170" s="3"/>
      <c r="O170" s="3"/>
    </row>
    <row r="171" spans="1:15">
      <c r="A171" s="1">
        <v>1170</v>
      </c>
      <c r="B171" s="1">
        <f t="shared" si="12"/>
        <v>4.5</v>
      </c>
      <c r="J171" s="3"/>
      <c r="K171" s="3"/>
      <c r="L171" s="3"/>
      <c r="N171" s="3"/>
      <c r="O171" s="3"/>
    </row>
    <row r="172" spans="1:15">
      <c r="A172" s="1">
        <v>1171</v>
      </c>
      <c r="B172" s="1">
        <f t="shared" si="12"/>
        <v>1.5</v>
      </c>
      <c r="J172" s="3"/>
      <c r="K172" s="3"/>
      <c r="L172" s="3"/>
      <c r="N172" s="3"/>
      <c r="O172" s="3"/>
    </row>
    <row r="173" spans="1:15">
      <c r="A173" s="1">
        <v>1172</v>
      </c>
      <c r="B173" s="1">
        <f t="shared" si="12"/>
        <v>2.25</v>
      </c>
      <c r="J173" s="3"/>
      <c r="K173" s="3"/>
      <c r="L173" s="3"/>
      <c r="N173" s="3"/>
      <c r="O173" s="3"/>
    </row>
    <row r="174" spans="1:15">
      <c r="A174" s="1">
        <v>1173</v>
      </c>
      <c r="B174" s="1">
        <f t="shared" si="12"/>
        <v>3</v>
      </c>
      <c r="J174" s="3"/>
      <c r="K174" s="3"/>
      <c r="L174" s="3"/>
      <c r="N174" s="3"/>
      <c r="O174" s="3"/>
    </row>
    <row r="175" spans="1:15">
      <c r="A175" s="1">
        <v>1174</v>
      </c>
      <c r="B175" s="1">
        <f t="shared" si="12"/>
        <v>3.75</v>
      </c>
      <c r="J175" s="3"/>
      <c r="K175" s="3"/>
      <c r="L175" s="3"/>
      <c r="N175" s="3"/>
      <c r="O175" s="3"/>
    </row>
    <row r="176" spans="1:15">
      <c r="A176" s="1">
        <v>1175</v>
      </c>
      <c r="B176" s="1">
        <f t="shared" si="12"/>
        <v>4.5</v>
      </c>
      <c r="J176" s="3"/>
      <c r="K176" s="3"/>
      <c r="L176" s="3"/>
      <c r="N176" s="3"/>
      <c r="O176" s="3"/>
    </row>
    <row r="177" spans="1:50">
      <c r="A177" s="1">
        <v>1176</v>
      </c>
      <c r="B177" s="1">
        <f t="shared" si="12"/>
        <v>1.5</v>
      </c>
      <c r="J177" s="3"/>
      <c r="K177" s="3"/>
      <c r="L177" s="3"/>
      <c r="N177" s="3"/>
      <c r="O177" s="3"/>
    </row>
    <row r="178" spans="1:50">
      <c r="A178" s="1">
        <v>1177</v>
      </c>
      <c r="B178" s="1">
        <f t="shared" si="12"/>
        <v>2.25</v>
      </c>
      <c r="J178" s="3"/>
      <c r="K178" s="3"/>
      <c r="L178" s="3"/>
      <c r="N178" s="3"/>
      <c r="O178" s="3"/>
    </row>
    <row r="179" spans="1:50">
      <c r="A179" s="1">
        <v>1178</v>
      </c>
      <c r="B179" s="1">
        <f t="shared" si="12"/>
        <v>3</v>
      </c>
      <c r="J179" s="3"/>
      <c r="K179" s="3"/>
      <c r="L179" s="3"/>
      <c r="N179" s="3"/>
      <c r="O179" s="3"/>
    </row>
    <row r="180" spans="1:50">
      <c r="A180" s="1">
        <v>1179</v>
      </c>
      <c r="B180" s="1">
        <f t="shared" si="12"/>
        <v>3.75</v>
      </c>
      <c r="J180" s="3"/>
      <c r="K180" s="3"/>
      <c r="L180" s="3"/>
      <c r="N180" s="3"/>
      <c r="O180" s="3"/>
    </row>
    <row r="181" spans="1:50">
      <c r="A181" s="1">
        <v>1180</v>
      </c>
      <c r="B181" s="1">
        <f t="shared" si="12"/>
        <v>4.5</v>
      </c>
      <c r="J181" s="3"/>
      <c r="K181" s="3"/>
      <c r="L181" s="3"/>
      <c r="N181" s="3"/>
      <c r="O181" s="3"/>
    </row>
    <row r="182" spans="1:50">
      <c r="A182" s="1">
        <v>1181</v>
      </c>
      <c r="B182" s="1">
        <f t="shared" si="12"/>
        <v>1.5</v>
      </c>
      <c r="J182" s="3"/>
      <c r="K182" s="3"/>
      <c r="L182" s="3"/>
      <c r="N182" s="3"/>
      <c r="O182" s="3"/>
    </row>
    <row r="183" spans="1:50">
      <c r="A183" s="1">
        <v>1182</v>
      </c>
      <c r="B183" s="1">
        <f t="shared" si="12"/>
        <v>2.25</v>
      </c>
      <c r="J183" s="3"/>
      <c r="K183" s="3"/>
      <c r="L183" s="3"/>
      <c r="N183" s="3"/>
      <c r="O183" s="3"/>
    </row>
    <row r="184" spans="1:50">
      <c r="A184" s="1">
        <v>1183</v>
      </c>
      <c r="B184" s="1">
        <f t="shared" si="12"/>
        <v>3</v>
      </c>
      <c r="J184" s="3"/>
      <c r="K184" s="3"/>
      <c r="L184" s="3"/>
      <c r="N184" s="3"/>
      <c r="O184" s="3"/>
    </row>
    <row r="185" spans="1:50">
      <c r="A185" s="1">
        <v>1184</v>
      </c>
      <c r="B185" s="1">
        <f t="shared" si="12"/>
        <v>3.75</v>
      </c>
      <c r="J185" s="3"/>
      <c r="K185" s="3"/>
      <c r="L185" s="3"/>
      <c r="N185" s="3"/>
      <c r="O185" s="3"/>
    </row>
    <row r="186" spans="1:50">
      <c r="A186" s="1">
        <v>1185</v>
      </c>
      <c r="B186" s="1">
        <f t="shared" si="12"/>
        <v>4.5</v>
      </c>
      <c r="J186" s="3"/>
      <c r="K186" s="3"/>
      <c r="L186" s="3"/>
      <c r="N186" s="3"/>
      <c r="O186" s="3"/>
    </row>
    <row r="187" spans="1:50">
      <c r="A187" s="1">
        <v>1186</v>
      </c>
      <c r="B187" s="1">
        <f t="shared" si="12"/>
        <v>1.5</v>
      </c>
      <c r="C187">
        <v>6</v>
      </c>
      <c r="D187">
        <v>2</v>
      </c>
      <c r="E187">
        <v>3.5</v>
      </c>
      <c r="F187">
        <v>1188</v>
      </c>
      <c r="G187">
        <v>17.049999237060547</v>
      </c>
      <c r="H187" s="3">
        <v>1</v>
      </c>
      <c r="I187" s="3">
        <v>6</v>
      </c>
      <c r="J187" s="3">
        <v>0</v>
      </c>
      <c r="K187" s="3">
        <f t="shared" si="13"/>
        <v>1.5</v>
      </c>
      <c r="L187" s="3">
        <f t="shared" ref="L187:L216" si="17">(G187-C187)/(M187-1)</f>
        <v>2.7624998092651367</v>
      </c>
      <c r="M187">
        <v>5</v>
      </c>
      <c r="N187" s="3">
        <f t="shared" si="14"/>
        <v>0.98384983446862861</v>
      </c>
      <c r="O187" s="3">
        <f t="shared" si="15"/>
        <v>0.82638888888888884</v>
      </c>
      <c r="P187" s="4">
        <f t="shared" si="16"/>
        <v>3.3102387233575175</v>
      </c>
      <c r="AX187">
        <v>1186</v>
      </c>
    </row>
    <row r="188" spans="1:50">
      <c r="A188" s="1">
        <v>1187</v>
      </c>
      <c r="B188" s="1">
        <f t="shared" si="12"/>
        <v>2.25</v>
      </c>
      <c r="C188">
        <v>2.8</v>
      </c>
      <c r="D188">
        <v>1.8</v>
      </c>
      <c r="E188">
        <v>2</v>
      </c>
      <c r="F188">
        <v>1188</v>
      </c>
      <c r="G188">
        <v>17.049999237060547</v>
      </c>
      <c r="H188" s="3">
        <v>1</v>
      </c>
      <c r="I188" s="3">
        <v>6</v>
      </c>
      <c r="J188" s="3">
        <v>0</v>
      </c>
      <c r="K188" s="3">
        <f t="shared" si="13"/>
        <v>5.45</v>
      </c>
      <c r="L188" s="3">
        <f t="shared" si="17"/>
        <v>3.5624998092651365</v>
      </c>
      <c r="M188" s="3">
        <v>5</v>
      </c>
      <c r="N188" s="3">
        <f t="shared" si="14"/>
        <v>0.91371095617612108</v>
      </c>
      <c r="O188" s="3">
        <f t="shared" si="15"/>
        <v>0.97222222222222221</v>
      </c>
      <c r="P188" s="4">
        <f t="shared" si="16"/>
        <v>7.3359331783983439</v>
      </c>
      <c r="AX188">
        <v>1187</v>
      </c>
    </row>
    <row r="189" spans="1:50">
      <c r="A189" s="1">
        <v>1188</v>
      </c>
      <c r="B189" s="1">
        <f t="shared" si="12"/>
        <v>3</v>
      </c>
      <c r="C189">
        <v>3.5</v>
      </c>
      <c r="D189">
        <v>2.2999999999999998</v>
      </c>
      <c r="E189">
        <v>2.8</v>
      </c>
      <c r="F189">
        <v>1188</v>
      </c>
      <c r="G189">
        <v>17.049999237060547</v>
      </c>
      <c r="H189" s="3">
        <v>1</v>
      </c>
      <c r="I189" s="3">
        <v>6</v>
      </c>
      <c r="J189" s="3">
        <f>G189-5</f>
        <v>12.049999237060547</v>
      </c>
      <c r="K189" s="3">
        <f t="shared" si="13"/>
        <v>17.549999237060547</v>
      </c>
      <c r="L189" s="3">
        <f t="shared" si="17"/>
        <v>3.3874998092651367</v>
      </c>
      <c r="M189" s="3">
        <v>5</v>
      </c>
      <c r="N189" s="3">
        <f t="shared" si="14"/>
        <v>0.96714844902356367</v>
      </c>
      <c r="O189" s="3">
        <f t="shared" si="15"/>
        <v>0.91</v>
      </c>
      <c r="P189" s="4">
        <f t="shared" si="16"/>
        <v>19.427147686084112</v>
      </c>
      <c r="AX189">
        <v>1188</v>
      </c>
    </row>
    <row r="190" spans="1:50">
      <c r="A190" s="1">
        <v>1189</v>
      </c>
      <c r="B190" s="1">
        <f t="shared" si="12"/>
        <v>3.75</v>
      </c>
      <c r="C190">
        <v>1</v>
      </c>
      <c r="D190">
        <v>1.8</v>
      </c>
      <c r="E190">
        <v>2</v>
      </c>
      <c r="F190">
        <v>1188</v>
      </c>
      <c r="G190">
        <v>17.049999237060547</v>
      </c>
      <c r="H190" s="3">
        <v>1</v>
      </c>
      <c r="I190" s="3">
        <v>6</v>
      </c>
      <c r="J190" s="3">
        <v>0</v>
      </c>
      <c r="K190" s="3">
        <f t="shared" si="13"/>
        <v>8.75</v>
      </c>
      <c r="L190" s="3">
        <f t="shared" si="17"/>
        <v>4.0124998092651367</v>
      </c>
      <c r="M190" s="3">
        <v>5</v>
      </c>
      <c r="N190" s="3">
        <f t="shared" si="14"/>
        <v>0.86402346094449256</v>
      </c>
      <c r="O190" s="3">
        <f t="shared" si="15"/>
        <v>0.97222222222222221</v>
      </c>
      <c r="P190" s="4">
        <f t="shared" si="16"/>
        <v>10.586245683166714</v>
      </c>
      <c r="AX190">
        <v>1189</v>
      </c>
    </row>
    <row r="191" spans="1:50">
      <c r="A191" s="1">
        <v>1190</v>
      </c>
      <c r="B191" s="1">
        <f t="shared" si="12"/>
        <v>4.5</v>
      </c>
      <c r="C191">
        <v>3.75</v>
      </c>
      <c r="D191">
        <v>4</v>
      </c>
      <c r="E191">
        <v>4.25</v>
      </c>
      <c r="F191">
        <v>1188</v>
      </c>
      <c r="G191">
        <v>17.049999237060547</v>
      </c>
      <c r="H191" s="3">
        <v>1</v>
      </c>
      <c r="I191" s="3">
        <v>6</v>
      </c>
      <c r="J191" s="3">
        <v>0</v>
      </c>
      <c r="K191" s="3">
        <f t="shared" si="13"/>
        <v>6.75</v>
      </c>
      <c r="L191" s="3">
        <f t="shared" si="17"/>
        <v>3.3249998092651367</v>
      </c>
      <c r="M191" s="3">
        <v>5</v>
      </c>
      <c r="N191" s="3">
        <f t="shared" si="14"/>
        <v>0.98734374284744164</v>
      </c>
      <c r="O191" s="3">
        <f t="shared" si="15"/>
        <v>0.70659722222222232</v>
      </c>
      <c r="P191" s="4">
        <f t="shared" si="16"/>
        <v>8.4439409650696646</v>
      </c>
      <c r="AX191">
        <v>1190</v>
      </c>
    </row>
    <row r="192" spans="1:50">
      <c r="A192" s="1">
        <v>1191</v>
      </c>
      <c r="B192" s="1">
        <f t="shared" si="12"/>
        <v>1.5</v>
      </c>
      <c r="C192">
        <v>0.8</v>
      </c>
      <c r="D192">
        <v>1.5</v>
      </c>
      <c r="E192">
        <v>1.5</v>
      </c>
      <c r="F192">
        <v>1195</v>
      </c>
      <c r="G192">
        <v>15.550000190734863</v>
      </c>
      <c r="H192" s="3">
        <v>1</v>
      </c>
      <c r="I192" s="3">
        <v>6</v>
      </c>
      <c r="J192" s="3">
        <v>0</v>
      </c>
      <c r="K192" s="3">
        <f t="shared" si="13"/>
        <v>6.7</v>
      </c>
      <c r="L192" s="3">
        <f t="shared" si="17"/>
        <v>3.6875000476837156</v>
      </c>
      <c r="M192" s="3">
        <v>5</v>
      </c>
      <c r="N192" s="3">
        <f t="shared" si="14"/>
        <v>0.86707898726065946</v>
      </c>
      <c r="O192" s="3">
        <f t="shared" si="15"/>
        <v>0.99305555555555558</v>
      </c>
      <c r="P192" s="4">
        <f t="shared" si="16"/>
        <v>8.5601345428162148</v>
      </c>
      <c r="AX192">
        <v>1191</v>
      </c>
    </row>
    <row r="193" spans="1:50">
      <c r="A193" s="1">
        <v>1192</v>
      </c>
      <c r="B193" s="1">
        <f t="shared" si="12"/>
        <v>2.25</v>
      </c>
      <c r="C193">
        <v>2.5</v>
      </c>
      <c r="D193">
        <v>2.5</v>
      </c>
      <c r="E193">
        <v>3</v>
      </c>
      <c r="F193">
        <v>1195</v>
      </c>
      <c r="G193">
        <v>15.550000190734863</v>
      </c>
      <c r="H193" s="3">
        <v>1</v>
      </c>
      <c r="I193" s="3">
        <v>6</v>
      </c>
      <c r="J193" s="3">
        <v>0</v>
      </c>
      <c r="K193" s="3">
        <f t="shared" si="13"/>
        <v>5.75</v>
      </c>
      <c r="L193" s="3">
        <f t="shared" si="17"/>
        <v>3.2625000476837158</v>
      </c>
      <c r="M193" s="3">
        <v>5</v>
      </c>
      <c r="N193" s="3">
        <f t="shared" si="14"/>
        <v>0.98384982436895363</v>
      </c>
      <c r="O193" s="3">
        <f t="shared" si="15"/>
        <v>0.88888888888888884</v>
      </c>
      <c r="P193" s="4">
        <f t="shared" si="16"/>
        <v>7.6227387132578421</v>
      </c>
      <c r="AX193">
        <v>1192</v>
      </c>
    </row>
    <row r="194" spans="1:50">
      <c r="A194" s="1">
        <v>1193</v>
      </c>
      <c r="B194" s="1">
        <f t="shared" si="12"/>
        <v>3</v>
      </c>
      <c r="C194">
        <v>2.5</v>
      </c>
      <c r="D194">
        <v>2.5</v>
      </c>
      <c r="E194">
        <v>2</v>
      </c>
      <c r="F194">
        <v>1195</v>
      </c>
      <c r="G194">
        <v>15.550000190734863</v>
      </c>
      <c r="H194" s="3">
        <v>1</v>
      </c>
      <c r="I194" s="3">
        <v>6</v>
      </c>
      <c r="J194" s="3">
        <v>0</v>
      </c>
      <c r="K194" s="3">
        <f t="shared" si="13"/>
        <v>6.5</v>
      </c>
      <c r="L194" s="3">
        <f t="shared" si="17"/>
        <v>3.2625000476837158</v>
      </c>
      <c r="M194" s="3">
        <v>5</v>
      </c>
      <c r="N194" s="3">
        <f t="shared" si="14"/>
        <v>0.98384982436895363</v>
      </c>
      <c r="O194" s="3">
        <f t="shared" si="15"/>
        <v>0.97222222222222221</v>
      </c>
      <c r="P194" s="4">
        <f t="shared" si="16"/>
        <v>8.4560720465911761</v>
      </c>
      <c r="AX194">
        <v>1193</v>
      </c>
    </row>
    <row r="195" spans="1:50">
      <c r="A195" s="1">
        <v>1194</v>
      </c>
      <c r="B195" s="1">
        <f t="shared" ref="B195:B258" si="18">IF(MOD(A195,5)=0,4.5,MOD(A195,5)*0.75+0.75)</f>
        <v>3.75</v>
      </c>
      <c r="C195">
        <v>3.75</v>
      </c>
      <c r="D195">
        <v>3</v>
      </c>
      <c r="E195">
        <v>3</v>
      </c>
      <c r="F195">
        <v>1195</v>
      </c>
      <c r="G195">
        <v>15.550000190734863</v>
      </c>
      <c r="H195" s="3">
        <v>1</v>
      </c>
      <c r="I195" s="3">
        <v>6</v>
      </c>
      <c r="J195" s="3">
        <v>0</v>
      </c>
      <c r="K195" s="3">
        <f t="shared" ref="K195:K258" si="19">I195+H195*(B195-C195+J195)</f>
        <v>6</v>
      </c>
      <c r="L195" s="3">
        <f t="shared" si="17"/>
        <v>2.9500000476837158</v>
      </c>
      <c r="M195" s="3">
        <v>5</v>
      </c>
      <c r="N195" s="3">
        <f t="shared" ref="N195:N258" si="20">1-1/36*((D195-L195)^2)</f>
        <v>0.99993055568801026</v>
      </c>
      <c r="O195" s="3">
        <f t="shared" ref="O195:O258" si="21">1-1/36*((E195-1)^2)</f>
        <v>0.88888888888888884</v>
      </c>
      <c r="P195" s="4">
        <f t="shared" ref="P195:P258" si="22">K195+N195+O195</f>
        <v>7.8888194445768995</v>
      </c>
      <c r="AX195">
        <v>1194</v>
      </c>
    </row>
    <row r="196" spans="1:50">
      <c r="A196" s="1">
        <v>1195</v>
      </c>
      <c r="B196" s="1">
        <f t="shared" si="18"/>
        <v>4.5</v>
      </c>
      <c r="C196">
        <v>6</v>
      </c>
      <c r="D196">
        <v>5</v>
      </c>
      <c r="E196">
        <v>5</v>
      </c>
      <c r="F196">
        <v>1195</v>
      </c>
      <c r="G196">
        <v>15.550000190734863</v>
      </c>
      <c r="H196" s="3">
        <v>1</v>
      </c>
      <c r="I196" s="3">
        <v>6</v>
      </c>
      <c r="J196" s="3">
        <f>G196-5</f>
        <v>10.550000190734863</v>
      </c>
      <c r="K196" s="3">
        <f t="shared" si="19"/>
        <v>15.050000190734863</v>
      </c>
      <c r="L196" s="3">
        <f t="shared" si="17"/>
        <v>2.3875000476837158</v>
      </c>
      <c r="M196" s="3">
        <v>5</v>
      </c>
      <c r="N196" s="3">
        <f t="shared" si="20"/>
        <v>0.81041233330965035</v>
      </c>
      <c r="O196" s="3">
        <f t="shared" si="21"/>
        <v>0.55555555555555558</v>
      </c>
      <c r="P196" s="4">
        <f t="shared" si="22"/>
        <v>16.41596807960007</v>
      </c>
      <c r="AX196">
        <v>1195</v>
      </c>
    </row>
    <row r="197" spans="1:50">
      <c r="A197" s="1">
        <v>1196</v>
      </c>
      <c r="B197" s="1">
        <f t="shared" si="18"/>
        <v>1.5</v>
      </c>
      <c r="C197">
        <v>1.5</v>
      </c>
      <c r="D197">
        <v>2</v>
      </c>
      <c r="E197">
        <v>1.5</v>
      </c>
      <c r="F197">
        <v>1200</v>
      </c>
      <c r="G197">
        <v>9.75</v>
      </c>
      <c r="H197" s="3">
        <v>1</v>
      </c>
      <c r="I197" s="3">
        <v>6</v>
      </c>
      <c r="J197" s="3">
        <v>0</v>
      </c>
      <c r="K197" s="3">
        <f t="shared" si="19"/>
        <v>6</v>
      </c>
      <c r="L197" s="3">
        <f t="shared" si="17"/>
        <v>2.0625</v>
      </c>
      <c r="M197" s="3">
        <v>5</v>
      </c>
      <c r="N197" s="3">
        <f t="shared" si="20"/>
        <v>0.99989149305555558</v>
      </c>
      <c r="O197" s="3">
        <f t="shared" si="21"/>
        <v>0.99305555555555558</v>
      </c>
      <c r="P197" s="4">
        <f t="shared" si="22"/>
        <v>7.9929470486111107</v>
      </c>
      <c r="AX197">
        <v>1196</v>
      </c>
    </row>
    <row r="198" spans="1:50">
      <c r="A198" s="1">
        <v>1197</v>
      </c>
      <c r="B198" s="1">
        <f t="shared" si="18"/>
        <v>2.25</v>
      </c>
      <c r="C198">
        <v>0.75</v>
      </c>
      <c r="D198">
        <v>1.5</v>
      </c>
      <c r="E198">
        <v>1.75</v>
      </c>
      <c r="F198">
        <v>1200</v>
      </c>
      <c r="G198">
        <v>9.75</v>
      </c>
      <c r="H198" s="3">
        <v>1</v>
      </c>
      <c r="I198" s="3">
        <v>6</v>
      </c>
      <c r="J198" s="3">
        <v>0</v>
      </c>
      <c r="K198" s="3">
        <f t="shared" si="19"/>
        <v>7.5</v>
      </c>
      <c r="L198" s="3">
        <f t="shared" si="17"/>
        <v>2.25</v>
      </c>
      <c r="M198" s="3">
        <v>5</v>
      </c>
      <c r="N198" s="3">
        <f t="shared" si="20"/>
        <v>0.984375</v>
      </c>
      <c r="O198" s="3">
        <f t="shared" si="21"/>
        <v>0.984375</v>
      </c>
      <c r="P198" s="4">
        <f t="shared" si="22"/>
        <v>9.46875</v>
      </c>
      <c r="AX198">
        <v>1197</v>
      </c>
    </row>
    <row r="199" spans="1:50">
      <c r="A199" s="1">
        <v>1198</v>
      </c>
      <c r="B199" s="1">
        <f t="shared" si="18"/>
        <v>3</v>
      </c>
      <c r="C199">
        <v>1</v>
      </c>
      <c r="D199">
        <v>2</v>
      </c>
      <c r="E199">
        <v>1</v>
      </c>
      <c r="F199">
        <v>1200</v>
      </c>
      <c r="G199">
        <v>9.75</v>
      </c>
      <c r="H199" s="3">
        <v>1</v>
      </c>
      <c r="I199" s="3">
        <v>6</v>
      </c>
      <c r="J199" s="3">
        <v>0</v>
      </c>
      <c r="K199" s="3">
        <f t="shared" si="19"/>
        <v>8</v>
      </c>
      <c r="L199" s="3">
        <f t="shared" si="17"/>
        <v>2.1875</v>
      </c>
      <c r="M199" s="3">
        <v>5</v>
      </c>
      <c r="N199" s="3">
        <f t="shared" si="20"/>
        <v>0.9990234375</v>
      </c>
      <c r="O199" s="3">
        <f t="shared" si="21"/>
        <v>1</v>
      </c>
      <c r="P199" s="4">
        <f t="shared" si="22"/>
        <v>9.9990234375</v>
      </c>
      <c r="AX199">
        <v>1198</v>
      </c>
    </row>
    <row r="200" spans="1:50">
      <c r="A200" s="1">
        <v>1199</v>
      </c>
      <c r="B200" s="1">
        <f t="shared" si="18"/>
        <v>3.75</v>
      </c>
      <c r="C200">
        <v>2</v>
      </c>
      <c r="D200">
        <v>2.5</v>
      </c>
      <c r="E200">
        <v>2</v>
      </c>
      <c r="F200">
        <v>1200</v>
      </c>
      <c r="G200">
        <v>9.75</v>
      </c>
      <c r="H200" s="3">
        <v>1</v>
      </c>
      <c r="I200" s="3">
        <v>6</v>
      </c>
      <c r="J200" s="3">
        <v>0</v>
      </c>
      <c r="K200" s="3">
        <f t="shared" si="19"/>
        <v>7.75</v>
      </c>
      <c r="L200" s="3">
        <f t="shared" si="17"/>
        <v>1.9375</v>
      </c>
      <c r="M200" s="3">
        <v>5</v>
      </c>
      <c r="N200" s="3">
        <f t="shared" si="20"/>
        <v>0.9912109375</v>
      </c>
      <c r="O200" s="3">
        <f t="shared" si="21"/>
        <v>0.97222222222222221</v>
      </c>
      <c r="P200" s="4">
        <f t="shared" si="22"/>
        <v>9.7134331597222214</v>
      </c>
      <c r="AX200">
        <v>1199</v>
      </c>
    </row>
    <row r="201" spans="1:50">
      <c r="A201" s="1">
        <v>1200</v>
      </c>
      <c r="B201" s="1">
        <f t="shared" si="18"/>
        <v>4.5</v>
      </c>
      <c r="C201">
        <v>4.5</v>
      </c>
      <c r="D201">
        <v>4.5</v>
      </c>
      <c r="E201">
        <v>4.5</v>
      </c>
      <c r="F201">
        <v>1200</v>
      </c>
      <c r="G201">
        <v>9.75</v>
      </c>
      <c r="H201" s="3">
        <v>1</v>
      </c>
      <c r="I201" s="3">
        <v>6</v>
      </c>
      <c r="J201" s="3">
        <f>G201-5</f>
        <v>4.75</v>
      </c>
      <c r="K201" s="3">
        <f t="shared" si="19"/>
        <v>10.75</v>
      </c>
      <c r="L201" s="3">
        <f t="shared" si="17"/>
        <v>1.3125</v>
      </c>
      <c r="M201" s="3">
        <v>5</v>
      </c>
      <c r="N201" s="3">
        <f t="shared" si="20"/>
        <v>0.7177734375</v>
      </c>
      <c r="O201" s="3">
        <f t="shared" si="21"/>
        <v>0.65972222222222232</v>
      </c>
      <c r="P201" s="4">
        <f t="shared" si="22"/>
        <v>12.127495659722221</v>
      </c>
      <c r="AX201">
        <v>1200</v>
      </c>
    </row>
    <row r="202" spans="1:50">
      <c r="A202" s="1">
        <v>1201</v>
      </c>
      <c r="B202" s="1">
        <f t="shared" si="18"/>
        <v>1.5</v>
      </c>
      <c r="C202" s="2">
        <v>2</v>
      </c>
      <c r="D202" s="2">
        <v>2</v>
      </c>
      <c r="E202" s="2">
        <v>1.2</v>
      </c>
      <c r="G202">
        <v>16.5</v>
      </c>
      <c r="H202" s="3">
        <v>1</v>
      </c>
      <c r="I202" s="3">
        <v>6</v>
      </c>
      <c r="J202" s="3">
        <v>0</v>
      </c>
      <c r="K202" s="3">
        <f t="shared" si="19"/>
        <v>5.5</v>
      </c>
      <c r="L202" s="3">
        <f t="shared" si="17"/>
        <v>3.625</v>
      </c>
      <c r="M202">
        <v>5</v>
      </c>
      <c r="N202" s="3">
        <f t="shared" si="20"/>
        <v>0.92664930555555558</v>
      </c>
      <c r="O202" s="3">
        <f t="shared" si="21"/>
        <v>0.99888888888888894</v>
      </c>
      <c r="P202" s="4">
        <f t="shared" si="22"/>
        <v>7.4255381944444441</v>
      </c>
    </row>
    <row r="203" spans="1:50">
      <c r="A203" s="1">
        <v>1202</v>
      </c>
      <c r="B203" s="1">
        <f t="shared" si="18"/>
        <v>2.25</v>
      </c>
      <c r="C203" s="2">
        <v>4</v>
      </c>
      <c r="D203" s="2">
        <v>3</v>
      </c>
      <c r="E203" s="2">
        <v>5</v>
      </c>
      <c r="G203" s="3">
        <v>16.5</v>
      </c>
      <c r="H203" s="3">
        <v>1</v>
      </c>
      <c r="I203" s="3">
        <v>6</v>
      </c>
      <c r="J203" s="3">
        <v>0</v>
      </c>
      <c r="K203" s="3">
        <f t="shared" si="19"/>
        <v>4.25</v>
      </c>
      <c r="L203" s="3">
        <f t="shared" si="17"/>
        <v>3.125</v>
      </c>
      <c r="M203" s="3">
        <v>5</v>
      </c>
      <c r="N203" s="3">
        <f t="shared" si="20"/>
        <v>0.99956597222222221</v>
      </c>
      <c r="O203" s="3">
        <f t="shared" si="21"/>
        <v>0.55555555555555558</v>
      </c>
      <c r="P203" s="4">
        <f t="shared" si="22"/>
        <v>5.8051215277777777</v>
      </c>
    </row>
    <row r="204" spans="1:50">
      <c r="A204" s="1">
        <v>1203</v>
      </c>
      <c r="B204" s="1">
        <f t="shared" si="18"/>
        <v>3</v>
      </c>
      <c r="C204" s="2">
        <v>4</v>
      </c>
      <c r="D204" s="2">
        <v>4</v>
      </c>
      <c r="E204" s="2">
        <v>5</v>
      </c>
      <c r="G204" s="3">
        <v>16.5</v>
      </c>
      <c r="H204" s="3">
        <v>1</v>
      </c>
      <c r="I204" s="3">
        <v>6</v>
      </c>
      <c r="J204" s="3">
        <v>0</v>
      </c>
      <c r="K204" s="3">
        <f t="shared" si="19"/>
        <v>5</v>
      </c>
      <c r="L204" s="3">
        <f t="shared" si="17"/>
        <v>3.125</v>
      </c>
      <c r="M204" s="3">
        <v>5</v>
      </c>
      <c r="N204" s="3">
        <f t="shared" si="20"/>
        <v>0.97873263888888884</v>
      </c>
      <c r="O204" s="3">
        <f t="shared" si="21"/>
        <v>0.55555555555555558</v>
      </c>
      <c r="P204" s="4">
        <f t="shared" si="22"/>
        <v>6.5342881944444446</v>
      </c>
    </row>
    <row r="205" spans="1:50">
      <c r="A205" s="1">
        <v>1204</v>
      </c>
      <c r="B205" s="1">
        <f t="shared" si="18"/>
        <v>3.75</v>
      </c>
      <c r="C205" s="2">
        <v>5</v>
      </c>
      <c r="D205" s="2">
        <v>3</v>
      </c>
      <c r="E205" s="2">
        <v>3</v>
      </c>
      <c r="G205" s="3">
        <v>16.5</v>
      </c>
      <c r="H205" s="3">
        <v>1</v>
      </c>
      <c r="I205" s="3">
        <v>6</v>
      </c>
      <c r="J205" s="3">
        <v>0</v>
      </c>
      <c r="K205" s="3">
        <f t="shared" si="19"/>
        <v>4.75</v>
      </c>
      <c r="L205" s="3">
        <f t="shared" si="17"/>
        <v>2.875</v>
      </c>
      <c r="M205" s="3">
        <v>5</v>
      </c>
      <c r="N205" s="3">
        <f t="shared" si="20"/>
        <v>0.99956597222222221</v>
      </c>
      <c r="O205" s="3">
        <f t="shared" si="21"/>
        <v>0.88888888888888884</v>
      </c>
      <c r="P205" s="4">
        <f t="shared" si="22"/>
        <v>6.6384548611111107</v>
      </c>
    </row>
    <row r="206" spans="1:50">
      <c r="A206" s="1">
        <v>1205</v>
      </c>
      <c r="B206" s="1">
        <f t="shared" si="18"/>
        <v>4.5</v>
      </c>
      <c r="C206" s="2">
        <v>1.5</v>
      </c>
      <c r="D206" s="2">
        <v>1.9</v>
      </c>
      <c r="E206" s="2">
        <v>1.4</v>
      </c>
      <c r="G206" s="3">
        <v>16.5</v>
      </c>
      <c r="H206" s="3">
        <v>1</v>
      </c>
      <c r="I206" s="3">
        <v>6</v>
      </c>
      <c r="J206" s="3">
        <v>0</v>
      </c>
      <c r="K206" s="3">
        <f t="shared" si="19"/>
        <v>9</v>
      </c>
      <c r="L206" s="3">
        <f t="shared" si="17"/>
        <v>3.75</v>
      </c>
      <c r="M206" s="3">
        <v>5</v>
      </c>
      <c r="N206" s="3">
        <f t="shared" si="20"/>
        <v>0.90493055555555557</v>
      </c>
      <c r="O206" s="3">
        <f t="shared" si="21"/>
        <v>0.99555555555555553</v>
      </c>
      <c r="P206" s="4">
        <f t="shared" si="22"/>
        <v>10.90048611111111</v>
      </c>
    </row>
    <row r="207" spans="1:50">
      <c r="A207" s="1">
        <v>1206</v>
      </c>
      <c r="B207" s="1">
        <f t="shared" si="18"/>
        <v>1.5</v>
      </c>
      <c r="C207" s="2">
        <v>0.5</v>
      </c>
      <c r="D207" s="2">
        <v>1.5</v>
      </c>
      <c r="E207" s="2">
        <v>5</v>
      </c>
      <c r="G207">
        <v>11.64</v>
      </c>
      <c r="H207" s="3">
        <v>1</v>
      </c>
      <c r="I207" s="3">
        <v>6</v>
      </c>
      <c r="J207" s="3">
        <v>0</v>
      </c>
      <c r="K207" s="3">
        <f t="shared" si="19"/>
        <v>7</v>
      </c>
      <c r="L207" s="3">
        <f t="shared" si="17"/>
        <v>2.7850000000000001</v>
      </c>
      <c r="M207" s="3">
        <v>5</v>
      </c>
      <c r="N207" s="3">
        <f t="shared" si="20"/>
        <v>0.95413263888888888</v>
      </c>
      <c r="O207" s="3">
        <f t="shared" si="21"/>
        <v>0.55555555555555558</v>
      </c>
      <c r="P207" s="4">
        <f t="shared" si="22"/>
        <v>8.5096881944444451</v>
      </c>
    </row>
    <row r="208" spans="1:50" s="6" customFormat="1">
      <c r="A208" s="5">
        <v>1207</v>
      </c>
      <c r="B208" s="5">
        <f t="shared" si="18"/>
        <v>2.25</v>
      </c>
      <c r="C208" s="6">
        <v>4</v>
      </c>
      <c r="D208" s="6">
        <v>3</v>
      </c>
      <c r="E208" s="6">
        <v>2.5</v>
      </c>
      <c r="G208" s="6">
        <v>11.64</v>
      </c>
      <c r="H208" s="6">
        <v>1</v>
      </c>
      <c r="I208" s="6">
        <v>6</v>
      </c>
      <c r="J208" s="6">
        <v>0</v>
      </c>
      <c r="K208" s="6">
        <f t="shared" si="19"/>
        <v>4.25</v>
      </c>
      <c r="L208" s="6">
        <f t="shared" si="17"/>
        <v>1.9100000000000001</v>
      </c>
      <c r="M208" s="6">
        <v>5</v>
      </c>
      <c r="N208" s="6">
        <f t="shared" si="20"/>
        <v>0.96699722222222229</v>
      </c>
      <c r="O208" s="6">
        <f t="shared" si="21"/>
        <v>0.9375</v>
      </c>
      <c r="P208" s="7">
        <f t="shared" si="22"/>
        <v>6.1544972222222221</v>
      </c>
    </row>
    <row r="209" spans="1:16" s="6" customFormat="1">
      <c r="A209" s="5">
        <v>1208</v>
      </c>
      <c r="B209" s="5">
        <f t="shared" si="18"/>
        <v>3</v>
      </c>
      <c r="C209" s="6">
        <v>1</v>
      </c>
      <c r="D209" s="6">
        <v>1.5</v>
      </c>
      <c r="E209" s="6">
        <v>2</v>
      </c>
      <c r="G209" s="6">
        <v>11.64</v>
      </c>
      <c r="H209" s="6">
        <v>1</v>
      </c>
      <c r="I209" s="6">
        <v>6</v>
      </c>
      <c r="J209" s="6">
        <v>0</v>
      </c>
      <c r="K209" s="6">
        <f t="shared" si="19"/>
        <v>8</v>
      </c>
      <c r="L209" s="6">
        <f t="shared" si="17"/>
        <v>2.66</v>
      </c>
      <c r="M209" s="6">
        <v>5</v>
      </c>
      <c r="N209" s="6">
        <f t="shared" si="20"/>
        <v>0.96262222222222227</v>
      </c>
      <c r="O209" s="6">
        <f t="shared" si="21"/>
        <v>0.97222222222222221</v>
      </c>
      <c r="P209" s="7">
        <f t="shared" si="22"/>
        <v>9.9348444444444439</v>
      </c>
    </row>
    <row r="210" spans="1:16">
      <c r="A210" s="1">
        <v>1209</v>
      </c>
      <c r="B210" s="1">
        <f t="shared" si="18"/>
        <v>3.75</v>
      </c>
      <c r="C210" s="2">
        <v>3.14</v>
      </c>
      <c r="D210" s="2">
        <v>4</v>
      </c>
      <c r="E210" s="2">
        <v>3.2</v>
      </c>
      <c r="G210" s="3">
        <v>11.64</v>
      </c>
      <c r="H210" s="3">
        <v>1</v>
      </c>
      <c r="I210" s="3">
        <v>6</v>
      </c>
      <c r="J210" s="3">
        <v>0</v>
      </c>
      <c r="K210" s="3">
        <f t="shared" si="19"/>
        <v>6.6099999999999994</v>
      </c>
      <c r="L210" s="3">
        <f t="shared" si="17"/>
        <v>2.125</v>
      </c>
      <c r="M210" s="3">
        <v>5</v>
      </c>
      <c r="N210" s="3">
        <f t="shared" si="20"/>
        <v>0.90234375</v>
      </c>
      <c r="O210" s="3">
        <f t="shared" si="21"/>
        <v>0.86555555555555552</v>
      </c>
      <c r="P210" s="4">
        <f t="shared" si="22"/>
        <v>8.3778993055555553</v>
      </c>
    </row>
    <row r="211" spans="1:16">
      <c r="A211" s="1">
        <v>1210</v>
      </c>
      <c r="B211" s="1">
        <f t="shared" si="18"/>
        <v>4.5</v>
      </c>
      <c r="C211" s="2">
        <v>3</v>
      </c>
      <c r="D211" s="2">
        <v>2</v>
      </c>
      <c r="E211" s="2">
        <v>2</v>
      </c>
      <c r="G211" s="3">
        <v>11.64</v>
      </c>
      <c r="H211" s="3">
        <v>1</v>
      </c>
      <c r="I211" s="3">
        <v>6</v>
      </c>
      <c r="J211" s="3">
        <v>0</v>
      </c>
      <c r="K211" s="3">
        <f t="shared" si="19"/>
        <v>7.5</v>
      </c>
      <c r="L211" s="3">
        <f t="shared" si="17"/>
        <v>2.16</v>
      </c>
      <c r="M211" s="3">
        <v>5</v>
      </c>
      <c r="N211" s="3">
        <f t="shared" si="20"/>
        <v>0.99928888888888889</v>
      </c>
      <c r="O211" s="3">
        <f t="shared" si="21"/>
        <v>0.97222222222222221</v>
      </c>
      <c r="P211" s="4">
        <f t="shared" si="22"/>
        <v>9.471511111111111</v>
      </c>
    </row>
    <row r="212" spans="1:16">
      <c r="A212" s="1">
        <v>1211</v>
      </c>
      <c r="B212" s="1">
        <f t="shared" si="18"/>
        <v>1.5</v>
      </c>
      <c r="C212" s="2">
        <v>2</v>
      </c>
      <c r="D212" s="2">
        <v>3</v>
      </c>
      <c r="E212" s="2">
        <v>2.8</v>
      </c>
      <c r="G212">
        <v>16.5</v>
      </c>
      <c r="H212" s="3">
        <v>1</v>
      </c>
      <c r="I212" s="3">
        <v>6</v>
      </c>
      <c r="J212" s="3">
        <v>0</v>
      </c>
      <c r="K212" s="3">
        <f t="shared" si="19"/>
        <v>5.5</v>
      </c>
      <c r="L212" s="3">
        <f t="shared" si="17"/>
        <v>3.625</v>
      </c>
      <c r="M212" s="3">
        <v>5</v>
      </c>
      <c r="N212" s="3">
        <f t="shared" si="20"/>
        <v>0.98914930555555558</v>
      </c>
      <c r="O212" s="3">
        <f t="shared" si="21"/>
        <v>0.91</v>
      </c>
      <c r="P212" s="4">
        <f t="shared" si="22"/>
        <v>7.3991493055555555</v>
      </c>
    </row>
    <row r="213" spans="1:16">
      <c r="A213" s="1">
        <v>1212</v>
      </c>
      <c r="B213" s="1">
        <f t="shared" si="18"/>
        <v>2.25</v>
      </c>
      <c r="C213" s="2">
        <v>4</v>
      </c>
      <c r="D213" s="2">
        <v>3.5</v>
      </c>
      <c r="E213" s="2">
        <v>4</v>
      </c>
      <c r="G213" s="3">
        <v>16.5</v>
      </c>
      <c r="H213" s="3">
        <v>1</v>
      </c>
      <c r="I213" s="3">
        <v>6</v>
      </c>
      <c r="J213" s="3">
        <v>0</v>
      </c>
      <c r="K213" s="3">
        <f t="shared" si="19"/>
        <v>4.25</v>
      </c>
      <c r="L213" s="3">
        <f t="shared" si="17"/>
        <v>3.125</v>
      </c>
      <c r="M213" s="3">
        <v>5</v>
      </c>
      <c r="N213" s="3">
        <f t="shared" si="20"/>
        <v>0.99609375</v>
      </c>
      <c r="O213" s="3">
        <f t="shared" si="21"/>
        <v>0.75</v>
      </c>
      <c r="P213" s="4">
        <f t="shared" si="22"/>
        <v>5.99609375</v>
      </c>
    </row>
    <row r="214" spans="1:16">
      <c r="A214" s="1">
        <v>1213</v>
      </c>
      <c r="B214" s="1">
        <f t="shared" si="18"/>
        <v>3</v>
      </c>
      <c r="C214" s="2">
        <v>4</v>
      </c>
      <c r="D214" s="2">
        <v>3</v>
      </c>
      <c r="E214" s="2">
        <v>4</v>
      </c>
      <c r="G214" s="3">
        <v>16.5</v>
      </c>
      <c r="H214" s="3">
        <v>1</v>
      </c>
      <c r="I214" s="3">
        <v>6</v>
      </c>
      <c r="J214" s="3">
        <v>0</v>
      </c>
      <c r="K214" s="3">
        <f t="shared" si="19"/>
        <v>5</v>
      </c>
      <c r="L214" s="3">
        <f t="shared" si="17"/>
        <v>3.125</v>
      </c>
      <c r="M214" s="3">
        <v>5</v>
      </c>
      <c r="N214" s="3">
        <f t="shared" si="20"/>
        <v>0.99956597222222221</v>
      </c>
      <c r="O214" s="3">
        <f t="shared" si="21"/>
        <v>0.75</v>
      </c>
      <c r="P214" s="4">
        <f t="shared" si="22"/>
        <v>6.7495659722222223</v>
      </c>
    </row>
    <row r="215" spans="1:16">
      <c r="A215" s="1">
        <v>1214</v>
      </c>
      <c r="B215" s="1">
        <f t="shared" si="18"/>
        <v>3.75</v>
      </c>
      <c r="C215" s="2">
        <v>3</v>
      </c>
      <c r="D215" s="2">
        <v>2.5</v>
      </c>
      <c r="E215" s="2">
        <v>3</v>
      </c>
      <c r="G215" s="3">
        <v>16.5</v>
      </c>
      <c r="H215" s="3">
        <v>1</v>
      </c>
      <c r="I215" s="3">
        <v>6</v>
      </c>
      <c r="J215" s="3">
        <v>0</v>
      </c>
      <c r="K215" s="3">
        <f t="shared" si="19"/>
        <v>6.75</v>
      </c>
      <c r="L215" s="3">
        <f t="shared" si="17"/>
        <v>3.375</v>
      </c>
      <c r="M215" s="3">
        <v>5</v>
      </c>
      <c r="N215" s="3">
        <f t="shared" si="20"/>
        <v>0.97873263888888884</v>
      </c>
      <c r="O215" s="3">
        <f t="shared" si="21"/>
        <v>0.88888888888888884</v>
      </c>
      <c r="P215" s="4">
        <f t="shared" si="22"/>
        <v>8.6176215277777786</v>
      </c>
    </row>
    <row r="216" spans="1:16">
      <c r="A216" s="1">
        <v>1215</v>
      </c>
      <c r="B216" s="1">
        <f t="shared" si="18"/>
        <v>4.5</v>
      </c>
      <c r="C216" s="2">
        <v>3.5</v>
      </c>
      <c r="D216" s="2">
        <v>3</v>
      </c>
      <c r="E216" s="2">
        <v>2.5</v>
      </c>
      <c r="G216" s="3">
        <v>16.5</v>
      </c>
      <c r="H216" s="3">
        <v>1</v>
      </c>
      <c r="I216" s="3">
        <v>6</v>
      </c>
      <c r="J216" s="3">
        <v>0</v>
      </c>
      <c r="K216" s="3">
        <f t="shared" si="19"/>
        <v>7</v>
      </c>
      <c r="L216" s="3">
        <f t="shared" si="17"/>
        <v>3.25</v>
      </c>
      <c r="M216" s="3">
        <v>5</v>
      </c>
      <c r="N216" s="3">
        <f t="shared" si="20"/>
        <v>0.99826388888888884</v>
      </c>
      <c r="O216" s="3">
        <f t="shared" si="21"/>
        <v>0.9375</v>
      </c>
      <c r="P216" s="4">
        <f t="shared" si="22"/>
        <v>8.9357638888888893</v>
      </c>
    </row>
    <row r="217" spans="1:16">
      <c r="A217" s="1">
        <v>1216</v>
      </c>
      <c r="B217" s="1">
        <f t="shared" si="18"/>
        <v>1.5</v>
      </c>
      <c r="J217" s="3"/>
      <c r="K217" s="3"/>
      <c r="L217" s="3"/>
      <c r="N217" s="3"/>
      <c r="O217" s="3"/>
    </row>
    <row r="218" spans="1:16">
      <c r="A218" s="1">
        <v>1217</v>
      </c>
      <c r="B218" s="1">
        <f t="shared" si="18"/>
        <v>2.25</v>
      </c>
      <c r="J218" s="3"/>
      <c r="K218" s="3"/>
      <c r="L218" s="3"/>
      <c r="N218" s="3"/>
      <c r="O218" s="3"/>
    </row>
    <row r="219" spans="1:16">
      <c r="A219" s="1">
        <v>1218</v>
      </c>
      <c r="B219" s="1">
        <f t="shared" si="18"/>
        <v>3</v>
      </c>
      <c r="J219" s="3"/>
      <c r="K219" s="3"/>
      <c r="L219" s="3"/>
      <c r="N219" s="3"/>
      <c r="O219" s="3"/>
    </row>
    <row r="220" spans="1:16">
      <c r="A220" s="1">
        <v>1219</v>
      </c>
      <c r="B220" s="1">
        <f t="shared" si="18"/>
        <v>3.75</v>
      </c>
      <c r="J220" s="3"/>
      <c r="K220" s="3"/>
      <c r="L220" s="3"/>
      <c r="N220" s="3"/>
      <c r="O220" s="3"/>
    </row>
    <row r="221" spans="1:16">
      <c r="A221" s="1">
        <v>1220</v>
      </c>
      <c r="B221" s="1">
        <f t="shared" si="18"/>
        <v>4.5</v>
      </c>
      <c r="J221" s="3"/>
      <c r="K221" s="3"/>
      <c r="L221" s="3"/>
      <c r="N221" s="3"/>
      <c r="O221" s="3"/>
    </row>
    <row r="222" spans="1:16">
      <c r="A222" s="1">
        <v>1221</v>
      </c>
      <c r="B222" s="1">
        <f t="shared" si="18"/>
        <v>1.5</v>
      </c>
      <c r="J222" s="3"/>
      <c r="K222" s="3"/>
      <c r="L222" s="3"/>
      <c r="N222" s="3"/>
      <c r="O222" s="3"/>
    </row>
    <row r="223" spans="1:16">
      <c r="A223" s="1">
        <v>1222</v>
      </c>
      <c r="B223" s="1">
        <f t="shared" si="18"/>
        <v>2.25</v>
      </c>
      <c r="J223" s="3"/>
      <c r="K223" s="3"/>
      <c r="L223" s="3"/>
      <c r="N223" s="3"/>
      <c r="O223" s="3"/>
    </row>
    <row r="224" spans="1:16">
      <c r="A224" s="1">
        <v>1223</v>
      </c>
      <c r="B224" s="1">
        <f t="shared" si="18"/>
        <v>3</v>
      </c>
      <c r="J224" s="3"/>
      <c r="K224" s="3"/>
      <c r="L224" s="3"/>
      <c r="N224" s="3"/>
      <c r="O224" s="3"/>
    </row>
    <row r="225" spans="1:15">
      <c r="A225" s="1">
        <v>1224</v>
      </c>
      <c r="B225" s="1">
        <f t="shared" si="18"/>
        <v>3.75</v>
      </c>
      <c r="J225" s="3"/>
      <c r="K225" s="3"/>
      <c r="L225" s="3"/>
      <c r="N225" s="3"/>
      <c r="O225" s="3"/>
    </row>
    <row r="226" spans="1:15">
      <c r="A226" s="1">
        <v>1225</v>
      </c>
      <c r="B226" s="1">
        <f t="shared" si="18"/>
        <v>4.5</v>
      </c>
      <c r="J226" s="3"/>
      <c r="K226" s="3"/>
      <c r="L226" s="3"/>
      <c r="N226" s="3"/>
      <c r="O226" s="3"/>
    </row>
    <row r="227" spans="1:15">
      <c r="A227" s="1">
        <v>1226</v>
      </c>
      <c r="B227" s="1">
        <f t="shared" si="18"/>
        <v>1.5</v>
      </c>
      <c r="J227" s="3"/>
      <c r="K227" s="3"/>
      <c r="L227" s="3"/>
      <c r="N227" s="3"/>
      <c r="O227" s="3"/>
    </row>
    <row r="228" spans="1:15">
      <c r="A228" s="1">
        <v>1227</v>
      </c>
      <c r="B228" s="1">
        <f t="shared" si="18"/>
        <v>2.25</v>
      </c>
      <c r="J228" s="3"/>
      <c r="K228" s="3"/>
      <c r="L228" s="3"/>
      <c r="N228" s="3"/>
      <c r="O228" s="3"/>
    </row>
    <row r="229" spans="1:15">
      <c r="A229" s="1">
        <v>1228</v>
      </c>
      <c r="B229" s="1">
        <f t="shared" si="18"/>
        <v>3</v>
      </c>
      <c r="J229" s="3"/>
      <c r="K229" s="3"/>
      <c r="L229" s="3"/>
      <c r="N229" s="3"/>
      <c r="O229" s="3"/>
    </row>
    <row r="230" spans="1:15">
      <c r="A230" s="1">
        <v>1229</v>
      </c>
      <c r="B230" s="1">
        <f t="shared" si="18"/>
        <v>3.75</v>
      </c>
      <c r="J230" s="3"/>
      <c r="K230" s="3"/>
      <c r="L230" s="3"/>
      <c r="N230" s="3"/>
      <c r="O230" s="3"/>
    </row>
    <row r="231" spans="1:15">
      <c r="A231" s="1">
        <v>1230</v>
      </c>
      <c r="B231" s="1">
        <f t="shared" si="18"/>
        <v>4.5</v>
      </c>
      <c r="J231" s="3"/>
      <c r="K231" s="3"/>
      <c r="L231" s="3"/>
      <c r="N231" s="3"/>
      <c r="O231" s="3"/>
    </row>
    <row r="232" spans="1:15">
      <c r="A232" s="1">
        <v>1231</v>
      </c>
      <c r="B232" s="1">
        <f t="shared" si="18"/>
        <v>1.5</v>
      </c>
      <c r="J232" s="3"/>
      <c r="K232" s="3"/>
      <c r="L232" s="3"/>
      <c r="N232" s="3"/>
      <c r="O232" s="3"/>
    </row>
    <row r="233" spans="1:15">
      <c r="A233" s="1">
        <v>1232</v>
      </c>
      <c r="B233" s="1">
        <f t="shared" si="18"/>
        <v>2.25</v>
      </c>
      <c r="J233" s="3"/>
      <c r="K233" s="3"/>
      <c r="L233" s="3"/>
      <c r="N233" s="3"/>
      <c r="O233" s="3"/>
    </row>
    <row r="234" spans="1:15">
      <c r="A234" s="1">
        <v>1233</v>
      </c>
      <c r="B234" s="1">
        <f t="shared" si="18"/>
        <v>3</v>
      </c>
      <c r="J234" s="3"/>
      <c r="K234" s="3"/>
      <c r="L234" s="3"/>
      <c r="N234" s="3"/>
      <c r="O234" s="3"/>
    </row>
    <row r="235" spans="1:15">
      <c r="A235" s="1">
        <v>1234</v>
      </c>
      <c r="B235" s="1">
        <f t="shared" si="18"/>
        <v>3.75</v>
      </c>
      <c r="J235" s="3"/>
      <c r="K235" s="3"/>
      <c r="L235" s="3"/>
      <c r="N235" s="3"/>
      <c r="O235" s="3"/>
    </row>
    <row r="236" spans="1:15">
      <c r="A236" s="1">
        <v>1235</v>
      </c>
      <c r="B236" s="1">
        <f t="shared" si="18"/>
        <v>4.5</v>
      </c>
      <c r="J236" s="3"/>
      <c r="K236" s="3"/>
      <c r="L236" s="3"/>
      <c r="N236" s="3"/>
      <c r="O236" s="3"/>
    </row>
    <row r="237" spans="1:15">
      <c r="A237" s="1">
        <v>1236</v>
      </c>
      <c r="B237" s="1">
        <f t="shared" si="18"/>
        <v>1.5</v>
      </c>
      <c r="J237" s="3"/>
      <c r="K237" s="3"/>
      <c r="L237" s="3"/>
      <c r="N237" s="3"/>
      <c r="O237" s="3"/>
    </row>
    <row r="238" spans="1:15">
      <c r="A238" s="1">
        <v>1237</v>
      </c>
      <c r="B238" s="1">
        <f t="shared" si="18"/>
        <v>2.25</v>
      </c>
      <c r="J238" s="3"/>
      <c r="K238" s="3"/>
      <c r="L238" s="3"/>
      <c r="N238" s="3"/>
      <c r="O238" s="3"/>
    </row>
    <row r="239" spans="1:15">
      <c r="A239" s="1">
        <v>1238</v>
      </c>
      <c r="B239" s="1">
        <f t="shared" si="18"/>
        <v>3</v>
      </c>
      <c r="J239" s="3"/>
      <c r="K239" s="3"/>
      <c r="L239" s="3"/>
      <c r="N239" s="3"/>
      <c r="O239" s="3"/>
    </row>
    <row r="240" spans="1:15">
      <c r="A240" s="1">
        <v>1239</v>
      </c>
      <c r="B240" s="1">
        <f t="shared" si="18"/>
        <v>3.75</v>
      </c>
      <c r="J240" s="3"/>
      <c r="K240" s="3"/>
      <c r="L240" s="3"/>
      <c r="N240" s="3"/>
      <c r="O240" s="3"/>
    </row>
    <row r="241" spans="1:16">
      <c r="A241" s="1">
        <v>1240</v>
      </c>
      <c r="B241" s="1">
        <f t="shared" si="18"/>
        <v>4.5</v>
      </c>
      <c r="J241" s="3"/>
      <c r="K241" s="3"/>
      <c r="L241" s="3"/>
      <c r="N241" s="3"/>
      <c r="O241" s="3"/>
    </row>
    <row r="242" spans="1:16">
      <c r="A242" s="1">
        <v>1241</v>
      </c>
      <c r="B242" s="1">
        <f t="shared" si="18"/>
        <v>1.5</v>
      </c>
      <c r="J242" s="3"/>
      <c r="K242" s="3"/>
      <c r="L242" s="3"/>
      <c r="N242" s="3"/>
      <c r="O242" s="3"/>
    </row>
    <row r="243" spans="1:16">
      <c r="A243" s="1">
        <v>1242</v>
      </c>
      <c r="B243" s="1">
        <f t="shared" si="18"/>
        <v>2.25</v>
      </c>
      <c r="J243" s="3"/>
      <c r="K243" s="3"/>
      <c r="L243" s="3"/>
      <c r="N243" s="3"/>
      <c r="O243" s="3"/>
    </row>
    <row r="244" spans="1:16">
      <c r="A244" s="1">
        <v>1243</v>
      </c>
      <c r="B244" s="1">
        <f t="shared" si="18"/>
        <v>3</v>
      </c>
      <c r="J244" s="3"/>
      <c r="K244" s="3"/>
      <c r="L244" s="3"/>
      <c r="N244" s="3"/>
      <c r="O244" s="3"/>
    </row>
    <row r="245" spans="1:16">
      <c r="A245" s="1">
        <v>1244</v>
      </c>
      <c r="B245" s="1">
        <f t="shared" si="18"/>
        <v>3.75</v>
      </c>
      <c r="J245" s="3"/>
      <c r="K245" s="3"/>
      <c r="L245" s="3"/>
      <c r="N245" s="3"/>
      <c r="O245" s="3"/>
    </row>
    <row r="246" spans="1:16">
      <c r="A246" s="1">
        <v>1245</v>
      </c>
      <c r="B246" s="1">
        <f t="shared" si="18"/>
        <v>4.5</v>
      </c>
      <c r="J246" s="3"/>
      <c r="K246" s="3"/>
      <c r="L246" s="3"/>
      <c r="N246" s="3"/>
      <c r="O246" s="3"/>
    </row>
    <row r="247" spans="1:16">
      <c r="A247" s="1">
        <v>1246</v>
      </c>
      <c r="B247" s="1">
        <f t="shared" si="18"/>
        <v>1.5</v>
      </c>
      <c r="J247" s="3"/>
      <c r="K247" s="3"/>
      <c r="L247" s="3"/>
      <c r="N247" s="3"/>
      <c r="O247" s="3"/>
    </row>
    <row r="248" spans="1:16">
      <c r="A248" s="1">
        <v>1247</v>
      </c>
      <c r="B248" s="1">
        <f t="shared" si="18"/>
        <v>2.25</v>
      </c>
      <c r="J248" s="3"/>
      <c r="K248" s="3"/>
      <c r="L248" s="3"/>
      <c r="N248" s="3"/>
      <c r="O248" s="3"/>
    </row>
    <row r="249" spans="1:16">
      <c r="A249" s="1">
        <v>1248</v>
      </c>
      <c r="B249" s="1">
        <f t="shared" si="18"/>
        <v>3</v>
      </c>
      <c r="J249" s="3"/>
      <c r="K249" s="3"/>
      <c r="L249" s="3"/>
      <c r="N249" s="3"/>
      <c r="O249" s="3"/>
    </row>
    <row r="250" spans="1:16">
      <c r="A250" s="1">
        <v>1249</v>
      </c>
      <c r="B250" s="1">
        <f t="shared" si="18"/>
        <v>3.75</v>
      </c>
      <c r="J250" s="3"/>
      <c r="K250" s="3"/>
      <c r="L250" s="3"/>
      <c r="N250" s="3"/>
      <c r="O250" s="3"/>
    </row>
    <row r="251" spans="1:16">
      <c r="A251" s="1">
        <v>1250</v>
      </c>
      <c r="B251" s="1">
        <f t="shared" si="18"/>
        <v>4.5</v>
      </c>
      <c r="J251" s="3"/>
      <c r="K251" s="3"/>
      <c r="L251" s="3"/>
      <c r="N251" s="3"/>
      <c r="O251" s="3"/>
    </row>
    <row r="252" spans="1:16">
      <c r="A252" s="1">
        <v>1251</v>
      </c>
      <c r="B252" s="1">
        <f t="shared" si="18"/>
        <v>1.5</v>
      </c>
      <c r="C252" s="3">
        <v>2</v>
      </c>
      <c r="D252" s="3">
        <v>0</v>
      </c>
      <c r="E252" s="3">
        <v>1</v>
      </c>
      <c r="G252">
        <v>101.41500000000001</v>
      </c>
      <c r="H252" s="3">
        <v>1</v>
      </c>
      <c r="I252" s="3">
        <v>6</v>
      </c>
      <c r="J252" s="3">
        <v>0</v>
      </c>
      <c r="K252" s="3">
        <f t="shared" si="19"/>
        <v>5.5</v>
      </c>
      <c r="L252" s="3">
        <f t="shared" ref="L252:L296" si="23">(G252-C252)/(M252-1)</f>
        <v>2.2594318181818185</v>
      </c>
      <c r="M252">
        <v>45</v>
      </c>
      <c r="N252" s="3">
        <f t="shared" si="20"/>
        <v>0.85819355163854449</v>
      </c>
      <c r="O252" s="3">
        <f t="shared" si="21"/>
        <v>1</v>
      </c>
      <c r="P252" s="4">
        <f t="shared" si="22"/>
        <v>7.3581935516385446</v>
      </c>
    </row>
    <row r="253" spans="1:16">
      <c r="A253" s="1">
        <v>1252</v>
      </c>
      <c r="B253" s="1">
        <f t="shared" si="18"/>
        <v>2.25</v>
      </c>
      <c r="C253" s="3">
        <v>2.25</v>
      </c>
      <c r="D253" s="3">
        <v>3</v>
      </c>
      <c r="E253" s="3">
        <v>3</v>
      </c>
      <c r="G253" s="3">
        <v>101.41500000000001</v>
      </c>
      <c r="H253" s="3">
        <v>1</v>
      </c>
      <c r="I253" s="3">
        <v>6</v>
      </c>
      <c r="J253" s="3">
        <v>0</v>
      </c>
      <c r="K253" s="3">
        <f t="shared" si="19"/>
        <v>6</v>
      </c>
      <c r="L253" s="3">
        <f t="shared" si="23"/>
        <v>2.2537500000000001</v>
      </c>
      <c r="M253" s="3">
        <v>45</v>
      </c>
      <c r="N253" s="3">
        <f t="shared" si="20"/>
        <v>0.98453085937499996</v>
      </c>
      <c r="O253" s="3">
        <f t="shared" si="21"/>
        <v>0.88888888888888884</v>
      </c>
      <c r="P253" s="4">
        <f t="shared" si="22"/>
        <v>7.8734197482638884</v>
      </c>
    </row>
    <row r="254" spans="1:16">
      <c r="A254" s="1">
        <v>1253</v>
      </c>
      <c r="B254" s="1">
        <f t="shared" si="18"/>
        <v>3</v>
      </c>
      <c r="C254" s="3">
        <v>4</v>
      </c>
      <c r="D254" s="3">
        <v>3</v>
      </c>
      <c r="E254" s="3">
        <v>3</v>
      </c>
      <c r="G254" s="3">
        <v>101.41500000000001</v>
      </c>
      <c r="H254" s="3">
        <v>1</v>
      </c>
      <c r="I254" s="3">
        <v>6</v>
      </c>
      <c r="J254" s="3">
        <v>0</v>
      </c>
      <c r="K254" s="3">
        <f t="shared" si="19"/>
        <v>5</v>
      </c>
      <c r="L254" s="3">
        <f t="shared" si="23"/>
        <v>2.2139772727272731</v>
      </c>
      <c r="M254" s="3">
        <v>45</v>
      </c>
      <c r="N254" s="3">
        <f t="shared" si="20"/>
        <v>0.9828380075614096</v>
      </c>
      <c r="O254" s="3">
        <f t="shared" si="21"/>
        <v>0.88888888888888884</v>
      </c>
      <c r="P254" s="4">
        <f t="shared" si="22"/>
        <v>6.8717268964502978</v>
      </c>
    </row>
    <row r="255" spans="1:16">
      <c r="A255" s="1">
        <v>1254</v>
      </c>
      <c r="B255" s="1">
        <f t="shared" si="18"/>
        <v>3.75</v>
      </c>
      <c r="C255" s="3">
        <v>0.14000000000000001</v>
      </c>
      <c r="D255" s="3">
        <v>0.13300000000000001</v>
      </c>
      <c r="E255" s="3">
        <v>0.14000000000000001</v>
      </c>
      <c r="G255" s="3">
        <v>101.41500000000001</v>
      </c>
      <c r="H255" s="3">
        <v>1</v>
      </c>
      <c r="I255" s="3">
        <v>6</v>
      </c>
      <c r="J255" s="3">
        <v>0</v>
      </c>
      <c r="K255" s="3">
        <f t="shared" si="19"/>
        <v>9.61</v>
      </c>
      <c r="L255" s="3">
        <f t="shared" si="23"/>
        <v>2.3017045454545455</v>
      </c>
      <c r="M255" s="3">
        <v>45</v>
      </c>
      <c r="N255" s="3">
        <f t="shared" si="20"/>
        <v>0.86935334984791091</v>
      </c>
      <c r="O255" s="3">
        <f t="shared" si="21"/>
        <v>0.97945555555555552</v>
      </c>
      <c r="P255" s="4">
        <f t="shared" si="22"/>
        <v>11.458808905403465</v>
      </c>
    </row>
    <row r="256" spans="1:16">
      <c r="A256" s="1">
        <v>1255</v>
      </c>
      <c r="B256" s="1">
        <f t="shared" si="18"/>
        <v>4.5</v>
      </c>
      <c r="C256" s="3">
        <v>5</v>
      </c>
      <c r="D256" s="3">
        <v>4.5</v>
      </c>
      <c r="E256" s="3">
        <v>3</v>
      </c>
      <c r="G256" s="3">
        <v>101.41500000000001</v>
      </c>
      <c r="H256" s="3">
        <v>1</v>
      </c>
      <c r="I256" s="3">
        <v>6</v>
      </c>
      <c r="J256" s="3">
        <v>0</v>
      </c>
      <c r="K256" s="3">
        <f t="shared" si="19"/>
        <v>5.5</v>
      </c>
      <c r="L256" s="3">
        <f t="shared" si="23"/>
        <v>2.1912500000000001</v>
      </c>
      <c r="M256" s="3">
        <v>45</v>
      </c>
      <c r="N256" s="3">
        <f t="shared" si="20"/>
        <v>0.85193537326388891</v>
      </c>
      <c r="O256" s="3">
        <f t="shared" si="21"/>
        <v>0.88888888888888884</v>
      </c>
      <c r="P256" s="4">
        <f t="shared" si="22"/>
        <v>7.2408242621527776</v>
      </c>
    </row>
    <row r="257" spans="1:16">
      <c r="A257" s="1">
        <v>1256</v>
      </c>
      <c r="B257" s="1">
        <f t="shared" si="18"/>
        <v>1.5</v>
      </c>
      <c r="C257" s="3">
        <v>4</v>
      </c>
      <c r="D257" s="3">
        <v>3</v>
      </c>
      <c r="E257" s="3">
        <v>2</v>
      </c>
      <c r="G257" s="3">
        <v>101.41500000000001</v>
      </c>
      <c r="H257" s="3">
        <v>1</v>
      </c>
      <c r="I257" s="3">
        <v>6</v>
      </c>
      <c r="J257" s="3">
        <v>0</v>
      </c>
      <c r="K257" s="3">
        <f t="shared" si="19"/>
        <v>3.5</v>
      </c>
      <c r="L257" s="3">
        <f t="shared" si="23"/>
        <v>2.2139772727272731</v>
      </c>
      <c r="M257" s="3">
        <v>45</v>
      </c>
      <c r="N257" s="3">
        <f t="shared" si="20"/>
        <v>0.9828380075614096</v>
      </c>
      <c r="O257" s="3">
        <f t="shared" si="21"/>
        <v>0.97222222222222221</v>
      </c>
      <c r="P257" s="4">
        <f t="shared" si="22"/>
        <v>5.4550602297836317</v>
      </c>
    </row>
    <row r="258" spans="1:16">
      <c r="A258" s="1">
        <v>1257</v>
      </c>
      <c r="B258" s="1">
        <f t="shared" si="18"/>
        <v>2.25</v>
      </c>
      <c r="C258" s="3">
        <v>2</v>
      </c>
      <c r="D258" s="3">
        <v>3.18</v>
      </c>
      <c r="E258" s="3">
        <v>3.52</v>
      </c>
      <c r="G258" s="3">
        <v>101.41500000000001</v>
      </c>
      <c r="H258" s="3">
        <v>1</v>
      </c>
      <c r="I258" s="3">
        <v>6</v>
      </c>
      <c r="J258" s="3">
        <v>0</v>
      </c>
      <c r="K258" s="3">
        <f t="shared" si="19"/>
        <v>6.25</v>
      </c>
      <c r="L258" s="3">
        <f t="shared" si="23"/>
        <v>2.2594318181818185</v>
      </c>
      <c r="M258" s="3">
        <v>45</v>
      </c>
      <c r="N258" s="3">
        <f t="shared" si="20"/>
        <v>0.9764598395173324</v>
      </c>
      <c r="O258" s="3">
        <f t="shared" si="21"/>
        <v>0.8236</v>
      </c>
      <c r="P258" s="4">
        <f t="shared" si="22"/>
        <v>8.0500598395173331</v>
      </c>
    </row>
    <row r="259" spans="1:16">
      <c r="A259" s="1">
        <v>1258</v>
      </c>
      <c r="B259" s="1">
        <f t="shared" ref="B259:B322" si="24">IF(MOD(A259,5)=0,4.5,MOD(A259,5)*0.75+0.75)</f>
        <v>3</v>
      </c>
      <c r="C259" s="3">
        <v>3</v>
      </c>
      <c r="D259" s="3">
        <v>3</v>
      </c>
      <c r="E259" s="3">
        <v>3</v>
      </c>
      <c r="G259" s="3">
        <v>101.41500000000001</v>
      </c>
      <c r="H259" s="3">
        <v>1</v>
      </c>
      <c r="I259" s="3">
        <v>6</v>
      </c>
      <c r="J259" s="3">
        <v>0</v>
      </c>
      <c r="K259" s="3">
        <f t="shared" ref="K259:K322" si="25">I259+H259*(B259-C259+J259)</f>
        <v>6</v>
      </c>
      <c r="L259" s="3">
        <f t="shared" si="23"/>
        <v>2.2367045454545456</v>
      </c>
      <c r="M259" s="3">
        <v>45</v>
      </c>
      <c r="N259" s="3">
        <f t="shared" ref="N259:N322" si="26">1-1/36*((D259-L259)^2)</f>
        <v>0.98381611247417355</v>
      </c>
      <c r="O259" s="3">
        <f t="shared" ref="O259:O322" si="27">1-1/36*((E259-1)^2)</f>
        <v>0.88888888888888884</v>
      </c>
      <c r="P259" s="4">
        <f t="shared" ref="P259:P322" si="28">K259+N259+O259</f>
        <v>7.8727050013630624</v>
      </c>
    </row>
    <row r="260" spans="1:16">
      <c r="A260" s="1">
        <v>1259</v>
      </c>
      <c r="B260" s="1">
        <f t="shared" si="24"/>
        <v>3.75</v>
      </c>
      <c r="C260" s="3">
        <v>2.25</v>
      </c>
      <c r="D260" s="3">
        <v>2.5</v>
      </c>
      <c r="E260" s="3">
        <v>2.25</v>
      </c>
      <c r="G260" s="3">
        <v>101.41500000000001</v>
      </c>
      <c r="H260" s="3">
        <v>1</v>
      </c>
      <c r="I260" s="3">
        <v>6</v>
      </c>
      <c r="J260" s="3">
        <v>0</v>
      </c>
      <c r="K260" s="3">
        <f t="shared" si="25"/>
        <v>7.5</v>
      </c>
      <c r="L260" s="3">
        <f t="shared" si="23"/>
        <v>2.2537500000000001</v>
      </c>
      <c r="M260" s="3">
        <v>45</v>
      </c>
      <c r="N260" s="3">
        <f t="shared" si="26"/>
        <v>0.99831558159722222</v>
      </c>
      <c r="O260" s="3">
        <f t="shared" si="27"/>
        <v>0.95659722222222221</v>
      </c>
      <c r="P260" s="4">
        <f t="shared" si="28"/>
        <v>9.4549128038194432</v>
      </c>
    </row>
    <row r="261" spans="1:16">
      <c r="A261" s="1">
        <v>1260</v>
      </c>
      <c r="B261" s="1">
        <f t="shared" si="24"/>
        <v>4.5</v>
      </c>
      <c r="C261" s="3">
        <v>3</v>
      </c>
      <c r="D261" s="3">
        <v>2</v>
      </c>
      <c r="E261" s="3">
        <v>3</v>
      </c>
      <c r="G261" s="3">
        <v>101.41500000000001</v>
      </c>
      <c r="H261" s="3">
        <v>1</v>
      </c>
      <c r="I261" s="3">
        <v>6</v>
      </c>
      <c r="J261" s="3">
        <v>0</v>
      </c>
      <c r="K261" s="3">
        <f t="shared" si="25"/>
        <v>7.5</v>
      </c>
      <c r="L261" s="3">
        <f t="shared" si="23"/>
        <v>2.2367045454545456</v>
      </c>
      <c r="M261" s="3">
        <v>45</v>
      </c>
      <c r="N261" s="3">
        <f t="shared" si="26"/>
        <v>0.99844363772669875</v>
      </c>
      <c r="O261" s="3">
        <f t="shared" si="27"/>
        <v>0.88888888888888884</v>
      </c>
      <c r="P261" s="4">
        <f t="shared" si="28"/>
        <v>9.3873325266155874</v>
      </c>
    </row>
    <row r="262" spans="1:16">
      <c r="A262" s="1">
        <v>1261</v>
      </c>
      <c r="B262" s="1">
        <f t="shared" si="24"/>
        <v>1.5</v>
      </c>
      <c r="C262" s="3">
        <v>3</v>
      </c>
      <c r="D262" s="3">
        <v>3</v>
      </c>
      <c r="E262" s="3">
        <v>4</v>
      </c>
      <c r="G262" s="3">
        <v>101.41500000000001</v>
      </c>
      <c r="H262" s="3">
        <v>1</v>
      </c>
      <c r="I262" s="3">
        <v>6</v>
      </c>
      <c r="J262" s="3">
        <v>0</v>
      </c>
      <c r="K262" s="3">
        <f t="shared" si="25"/>
        <v>4.5</v>
      </c>
      <c r="L262" s="3">
        <f t="shared" si="23"/>
        <v>2.2367045454545456</v>
      </c>
      <c r="M262" s="3">
        <v>45</v>
      </c>
      <c r="N262" s="3">
        <f t="shared" si="26"/>
        <v>0.98381611247417355</v>
      </c>
      <c r="O262" s="3">
        <f t="shared" si="27"/>
        <v>0.75</v>
      </c>
      <c r="P262" s="4">
        <f t="shared" si="28"/>
        <v>6.2338161124741731</v>
      </c>
    </row>
    <row r="263" spans="1:16">
      <c r="A263" s="1">
        <v>1262</v>
      </c>
      <c r="B263" s="1">
        <f t="shared" si="24"/>
        <v>2.25</v>
      </c>
      <c r="C263" s="3">
        <v>2</v>
      </c>
      <c r="D263" s="3">
        <v>1.5</v>
      </c>
      <c r="E263" s="3">
        <v>2</v>
      </c>
      <c r="G263" s="3">
        <v>101.41500000000001</v>
      </c>
      <c r="H263" s="3">
        <v>1</v>
      </c>
      <c r="I263" s="3">
        <v>6</v>
      </c>
      <c r="J263" s="3">
        <v>0</v>
      </c>
      <c r="K263" s="3">
        <f t="shared" si="25"/>
        <v>6.25</v>
      </c>
      <c r="L263" s="3">
        <f t="shared" si="23"/>
        <v>2.2594318181818185</v>
      </c>
      <c r="M263" s="3">
        <v>45</v>
      </c>
      <c r="N263" s="3">
        <f t="shared" si="26"/>
        <v>0.9839795364870294</v>
      </c>
      <c r="O263" s="3">
        <f t="shared" si="27"/>
        <v>0.97222222222222221</v>
      </c>
      <c r="P263" s="4">
        <f t="shared" si="28"/>
        <v>8.2062017587092519</v>
      </c>
    </row>
    <row r="264" spans="1:16">
      <c r="A264" s="1">
        <v>1263</v>
      </c>
      <c r="B264" s="1">
        <f t="shared" si="24"/>
        <v>3</v>
      </c>
      <c r="C264" s="3">
        <v>0</v>
      </c>
      <c r="D264" s="3">
        <v>0</v>
      </c>
      <c r="E264" s="3">
        <v>3</v>
      </c>
      <c r="G264" s="3">
        <v>101.41500000000001</v>
      </c>
      <c r="H264" s="3">
        <v>1</v>
      </c>
      <c r="I264" s="3">
        <v>6</v>
      </c>
      <c r="J264" s="3">
        <v>0</v>
      </c>
      <c r="K264" s="3">
        <f t="shared" si="25"/>
        <v>9</v>
      </c>
      <c r="L264" s="3">
        <f t="shared" si="23"/>
        <v>2.3048863636363639</v>
      </c>
      <c r="M264" s="3">
        <v>45</v>
      </c>
      <c r="N264" s="3">
        <f t="shared" si="26"/>
        <v>0.85243052363119831</v>
      </c>
      <c r="O264" s="3">
        <f t="shared" si="27"/>
        <v>0.88888888888888884</v>
      </c>
      <c r="P264" s="4">
        <f t="shared" si="28"/>
        <v>10.741319412520088</v>
      </c>
    </row>
    <row r="265" spans="1:16">
      <c r="A265" s="1">
        <v>1264</v>
      </c>
      <c r="B265" s="1">
        <f t="shared" si="24"/>
        <v>3.75</v>
      </c>
      <c r="C265" s="3">
        <v>6</v>
      </c>
      <c r="D265" s="3">
        <v>4</v>
      </c>
      <c r="E265" s="3">
        <v>5</v>
      </c>
      <c r="G265" s="3">
        <v>101.41500000000001</v>
      </c>
      <c r="H265" s="3">
        <v>1</v>
      </c>
      <c r="I265" s="3">
        <v>6</v>
      </c>
      <c r="J265" s="3">
        <v>0</v>
      </c>
      <c r="K265" s="3">
        <f t="shared" si="25"/>
        <v>3.75</v>
      </c>
      <c r="L265" s="3">
        <f t="shared" si="23"/>
        <v>2.1685227272727272</v>
      </c>
      <c r="M265" s="3">
        <v>45</v>
      </c>
      <c r="N265" s="3">
        <f t="shared" si="26"/>
        <v>0.90682474998565199</v>
      </c>
      <c r="O265" s="3">
        <f t="shared" si="27"/>
        <v>0.55555555555555558</v>
      </c>
      <c r="P265" s="4">
        <f t="shared" si="28"/>
        <v>5.212380305541207</v>
      </c>
    </row>
    <row r="266" spans="1:16">
      <c r="A266" s="1">
        <v>1265</v>
      </c>
      <c r="B266" s="1">
        <f t="shared" si="24"/>
        <v>4.5</v>
      </c>
      <c r="C266" s="3">
        <v>4</v>
      </c>
      <c r="D266" s="3">
        <v>3.5</v>
      </c>
      <c r="E266" s="3">
        <v>4</v>
      </c>
      <c r="G266" s="3">
        <v>101.41500000000001</v>
      </c>
      <c r="H266" s="3">
        <v>1</v>
      </c>
      <c r="I266" s="3">
        <v>6</v>
      </c>
      <c r="J266" s="3">
        <v>0</v>
      </c>
      <c r="K266" s="3">
        <f t="shared" si="25"/>
        <v>6.5</v>
      </c>
      <c r="L266" s="3">
        <f t="shared" si="23"/>
        <v>2.2139772727272731</v>
      </c>
      <c r="M266" s="3">
        <v>45</v>
      </c>
      <c r="N266" s="3">
        <f t="shared" si="26"/>
        <v>0.95405959847050048</v>
      </c>
      <c r="O266" s="3">
        <f t="shared" si="27"/>
        <v>0.75</v>
      </c>
      <c r="P266" s="4">
        <f t="shared" si="28"/>
        <v>8.2040595984705007</v>
      </c>
    </row>
    <row r="267" spans="1:16">
      <c r="A267" s="1">
        <v>1266</v>
      </c>
      <c r="B267" s="1">
        <f t="shared" si="24"/>
        <v>1.5</v>
      </c>
      <c r="C267" s="3">
        <v>0.75</v>
      </c>
      <c r="D267" s="3">
        <v>0.85</v>
      </c>
      <c r="E267" s="3">
        <v>1</v>
      </c>
      <c r="G267" s="3">
        <v>101.41500000000001</v>
      </c>
      <c r="H267" s="3">
        <v>1</v>
      </c>
      <c r="I267" s="3">
        <v>6</v>
      </c>
      <c r="J267" s="3">
        <v>0</v>
      </c>
      <c r="K267" s="3">
        <f t="shared" si="25"/>
        <v>6.75</v>
      </c>
      <c r="L267" s="3">
        <f t="shared" si="23"/>
        <v>2.2878409090909093</v>
      </c>
      <c r="M267" s="3">
        <v>45</v>
      </c>
      <c r="N267" s="3">
        <f t="shared" si="26"/>
        <v>0.94257259778179525</v>
      </c>
      <c r="O267" s="3">
        <f t="shared" si="27"/>
        <v>1</v>
      </c>
      <c r="P267" s="4">
        <f t="shared" si="28"/>
        <v>8.692572597781794</v>
      </c>
    </row>
    <row r="268" spans="1:16">
      <c r="A268" s="1">
        <v>1267</v>
      </c>
      <c r="B268" s="1">
        <f t="shared" si="24"/>
        <v>2.25</v>
      </c>
      <c r="C268" s="3">
        <v>1.125</v>
      </c>
      <c r="D268" s="3">
        <v>1.5</v>
      </c>
      <c r="E268" s="3">
        <v>3</v>
      </c>
      <c r="G268" s="3">
        <v>101.41500000000001</v>
      </c>
      <c r="H268" s="3">
        <v>1</v>
      </c>
      <c r="I268" s="3">
        <v>6</v>
      </c>
      <c r="J268" s="3">
        <v>0</v>
      </c>
      <c r="K268" s="3">
        <f t="shared" si="25"/>
        <v>7.125</v>
      </c>
      <c r="L268" s="3">
        <f t="shared" si="23"/>
        <v>2.2793181818181818</v>
      </c>
      <c r="M268" s="3">
        <v>45</v>
      </c>
      <c r="N268" s="3">
        <f t="shared" si="26"/>
        <v>0.98312953254132229</v>
      </c>
      <c r="O268" s="3">
        <f t="shared" si="27"/>
        <v>0.88888888888888884</v>
      </c>
      <c r="P268" s="4">
        <f t="shared" si="28"/>
        <v>8.9970184214302122</v>
      </c>
    </row>
    <row r="269" spans="1:16">
      <c r="A269" s="1">
        <v>1268</v>
      </c>
      <c r="B269" s="1">
        <f t="shared" si="24"/>
        <v>3</v>
      </c>
      <c r="C269" s="3">
        <v>2</v>
      </c>
      <c r="D269" s="3">
        <v>3</v>
      </c>
      <c r="E269" s="3">
        <v>3</v>
      </c>
      <c r="G269" s="3">
        <v>101.41500000000001</v>
      </c>
      <c r="H269" s="3">
        <v>1</v>
      </c>
      <c r="I269" s="3">
        <v>6</v>
      </c>
      <c r="J269" s="3">
        <v>0</v>
      </c>
      <c r="K269" s="3">
        <f t="shared" si="25"/>
        <v>7</v>
      </c>
      <c r="L269" s="3">
        <f t="shared" si="23"/>
        <v>2.2594318181818185</v>
      </c>
      <c r="M269" s="3">
        <v>45</v>
      </c>
      <c r="N269" s="3">
        <f t="shared" si="26"/>
        <v>0.9847655213355142</v>
      </c>
      <c r="O269" s="3">
        <f t="shared" si="27"/>
        <v>0.88888888888888884</v>
      </c>
      <c r="P269" s="4">
        <f t="shared" si="28"/>
        <v>8.8736544102244039</v>
      </c>
    </row>
    <row r="270" spans="1:16">
      <c r="A270" s="1">
        <v>1269</v>
      </c>
      <c r="B270" s="1">
        <f t="shared" si="24"/>
        <v>3.75</v>
      </c>
      <c r="C270" s="3">
        <v>3</v>
      </c>
      <c r="D270" s="3">
        <v>3</v>
      </c>
      <c r="E270" s="3">
        <v>3</v>
      </c>
      <c r="G270" s="3">
        <v>101.41500000000001</v>
      </c>
      <c r="H270" s="3">
        <v>1</v>
      </c>
      <c r="I270" s="3">
        <v>6</v>
      </c>
      <c r="J270" s="3">
        <v>0</v>
      </c>
      <c r="K270" s="3">
        <f t="shared" si="25"/>
        <v>6.75</v>
      </c>
      <c r="L270" s="3">
        <f t="shared" si="23"/>
        <v>2.2367045454545456</v>
      </c>
      <c r="M270" s="3">
        <v>45</v>
      </c>
      <c r="N270" s="3">
        <f t="shared" si="26"/>
        <v>0.98381611247417355</v>
      </c>
      <c r="O270" s="3">
        <f t="shared" si="27"/>
        <v>0.88888888888888884</v>
      </c>
      <c r="P270" s="4">
        <f t="shared" si="28"/>
        <v>8.6227050013630624</v>
      </c>
    </row>
    <row r="271" spans="1:16" s="6" customFormat="1">
      <c r="A271" s="5">
        <v>1270</v>
      </c>
      <c r="B271" s="5">
        <f t="shared" si="24"/>
        <v>4.5</v>
      </c>
      <c r="C271" s="6">
        <v>3</v>
      </c>
      <c r="D271" s="6">
        <v>3</v>
      </c>
      <c r="E271" s="6">
        <v>3</v>
      </c>
      <c r="G271" s="6">
        <v>101.41500000000001</v>
      </c>
      <c r="H271" s="6">
        <v>1</v>
      </c>
      <c r="I271" s="6">
        <v>6</v>
      </c>
      <c r="J271" s="6">
        <v>0</v>
      </c>
      <c r="K271" s="6">
        <f t="shared" si="25"/>
        <v>7.5</v>
      </c>
      <c r="L271" s="6">
        <f t="shared" si="23"/>
        <v>2.2367045454545456</v>
      </c>
      <c r="M271" s="6">
        <v>45</v>
      </c>
      <c r="N271" s="6">
        <f t="shared" si="26"/>
        <v>0.98381611247417355</v>
      </c>
      <c r="O271" s="6">
        <f t="shared" si="27"/>
        <v>0.88888888888888884</v>
      </c>
      <c r="P271" s="7">
        <f t="shared" si="28"/>
        <v>9.3727050013630624</v>
      </c>
    </row>
    <row r="272" spans="1:16">
      <c r="A272" s="1">
        <v>1271</v>
      </c>
      <c r="B272" s="1">
        <f t="shared" si="24"/>
        <v>1.5</v>
      </c>
      <c r="C272" s="3">
        <v>1.5</v>
      </c>
      <c r="D272" s="3">
        <v>2</v>
      </c>
      <c r="E272" s="3">
        <v>3</v>
      </c>
      <c r="G272" s="3">
        <v>101.41500000000001</v>
      </c>
      <c r="H272" s="3">
        <v>1</v>
      </c>
      <c r="I272" s="3">
        <v>6</v>
      </c>
      <c r="J272" s="3">
        <v>0</v>
      </c>
      <c r="K272" s="3">
        <f t="shared" si="25"/>
        <v>6</v>
      </c>
      <c r="L272" s="3">
        <f t="shared" si="23"/>
        <v>2.2707954545454547</v>
      </c>
      <c r="M272" s="3">
        <v>45</v>
      </c>
      <c r="N272" s="3">
        <f t="shared" si="26"/>
        <v>0.99796305060548673</v>
      </c>
      <c r="O272" s="3">
        <f t="shared" si="27"/>
        <v>0.88888888888888884</v>
      </c>
      <c r="P272" s="4">
        <f t="shared" si="28"/>
        <v>7.8868519394943757</v>
      </c>
    </row>
    <row r="273" spans="1:16">
      <c r="A273" s="1">
        <v>1272</v>
      </c>
      <c r="B273" s="1">
        <f t="shared" si="24"/>
        <v>2.25</v>
      </c>
      <c r="C273" s="3">
        <v>3</v>
      </c>
      <c r="D273" s="3">
        <v>3</v>
      </c>
      <c r="E273" s="3">
        <v>3</v>
      </c>
      <c r="G273" s="3">
        <v>101.41500000000001</v>
      </c>
      <c r="H273" s="3">
        <v>1</v>
      </c>
      <c r="I273" s="3">
        <v>6</v>
      </c>
      <c r="J273" s="3">
        <v>0</v>
      </c>
      <c r="K273" s="3">
        <f t="shared" si="25"/>
        <v>5.25</v>
      </c>
      <c r="L273" s="3">
        <f t="shared" si="23"/>
        <v>2.2367045454545456</v>
      </c>
      <c r="M273" s="3">
        <v>45</v>
      </c>
      <c r="N273" s="3">
        <f t="shared" si="26"/>
        <v>0.98381611247417355</v>
      </c>
      <c r="O273" s="3">
        <f t="shared" si="27"/>
        <v>0.88888888888888884</v>
      </c>
      <c r="P273" s="4">
        <f t="shared" si="28"/>
        <v>7.1227050013630624</v>
      </c>
    </row>
    <row r="274" spans="1:16">
      <c r="A274" s="1">
        <v>1273</v>
      </c>
      <c r="B274" s="1">
        <f t="shared" si="24"/>
        <v>3</v>
      </c>
      <c r="C274" s="3">
        <v>3</v>
      </c>
      <c r="D274" s="3">
        <v>2</v>
      </c>
      <c r="E274" s="3">
        <v>2.5</v>
      </c>
      <c r="G274" s="3">
        <v>101.41500000000001</v>
      </c>
      <c r="H274" s="3">
        <v>1</v>
      </c>
      <c r="I274" s="3">
        <v>6</v>
      </c>
      <c r="J274" s="3">
        <v>0</v>
      </c>
      <c r="K274" s="3">
        <f t="shared" si="25"/>
        <v>6</v>
      </c>
      <c r="L274" s="3">
        <f t="shared" si="23"/>
        <v>2.2367045454545456</v>
      </c>
      <c r="M274" s="3">
        <v>45</v>
      </c>
      <c r="N274" s="3">
        <f t="shared" si="26"/>
        <v>0.99844363772669875</v>
      </c>
      <c r="O274" s="3">
        <f t="shared" si="27"/>
        <v>0.9375</v>
      </c>
      <c r="P274" s="4">
        <f t="shared" si="28"/>
        <v>7.935943637726699</v>
      </c>
    </row>
    <row r="275" spans="1:16">
      <c r="A275" s="1">
        <v>1274</v>
      </c>
      <c r="B275" s="1">
        <f t="shared" si="24"/>
        <v>3.75</v>
      </c>
      <c r="C275" s="3">
        <v>1</v>
      </c>
      <c r="D275" s="3">
        <v>2.5</v>
      </c>
      <c r="E275" s="3">
        <v>2</v>
      </c>
      <c r="G275" s="3">
        <v>101.41500000000001</v>
      </c>
      <c r="H275" s="3">
        <v>1</v>
      </c>
      <c r="I275" s="3">
        <v>6</v>
      </c>
      <c r="J275" s="3">
        <v>0</v>
      </c>
      <c r="K275" s="3">
        <f t="shared" si="25"/>
        <v>8.75</v>
      </c>
      <c r="L275" s="3">
        <f t="shared" si="23"/>
        <v>2.282159090909091</v>
      </c>
      <c r="M275" s="3">
        <v>45</v>
      </c>
      <c r="N275" s="3">
        <f t="shared" si="26"/>
        <v>0.99868181495351238</v>
      </c>
      <c r="O275" s="3">
        <f t="shared" si="27"/>
        <v>0.97222222222222221</v>
      </c>
      <c r="P275" s="4">
        <f t="shared" si="28"/>
        <v>10.720904037175734</v>
      </c>
    </row>
    <row r="276" spans="1:16">
      <c r="A276" s="1">
        <v>1275</v>
      </c>
      <c r="B276" s="1">
        <f t="shared" si="24"/>
        <v>4.5</v>
      </c>
      <c r="C276" s="3">
        <v>0</v>
      </c>
      <c r="D276" s="3">
        <v>3</v>
      </c>
      <c r="E276" s="3">
        <v>3</v>
      </c>
      <c r="G276" s="3">
        <v>101.41500000000001</v>
      </c>
      <c r="H276" s="3">
        <v>1</v>
      </c>
      <c r="I276" s="3">
        <v>6</v>
      </c>
      <c r="J276" s="3">
        <v>0</v>
      </c>
      <c r="K276" s="3">
        <f t="shared" si="25"/>
        <v>10.5</v>
      </c>
      <c r="L276" s="3">
        <f t="shared" si="23"/>
        <v>2.3048863636363639</v>
      </c>
      <c r="M276" s="3">
        <v>45</v>
      </c>
      <c r="N276" s="3">
        <f t="shared" si="26"/>
        <v>0.98657825090392559</v>
      </c>
      <c r="O276" s="3">
        <f t="shared" si="27"/>
        <v>0.88888888888888884</v>
      </c>
      <c r="P276" s="4">
        <f t="shared" si="28"/>
        <v>12.375467139792814</v>
      </c>
    </row>
    <row r="277" spans="1:16">
      <c r="A277" s="1">
        <v>1276</v>
      </c>
      <c r="B277" s="1">
        <f t="shared" si="24"/>
        <v>1.5</v>
      </c>
      <c r="C277" s="3">
        <v>1</v>
      </c>
      <c r="D277" s="3">
        <v>2</v>
      </c>
      <c r="E277" s="3">
        <v>2</v>
      </c>
      <c r="G277" s="3">
        <v>101.41500000000001</v>
      </c>
      <c r="H277" s="3">
        <v>1</v>
      </c>
      <c r="I277" s="3">
        <v>6</v>
      </c>
      <c r="J277" s="3">
        <v>0</v>
      </c>
      <c r="K277" s="3">
        <f t="shared" si="25"/>
        <v>6.5</v>
      </c>
      <c r="L277" s="3">
        <f t="shared" si="23"/>
        <v>2.282159090909091</v>
      </c>
      <c r="M277" s="3">
        <v>45</v>
      </c>
      <c r="N277" s="3">
        <f t="shared" si="26"/>
        <v>0.99778850687270426</v>
      </c>
      <c r="O277" s="3">
        <f t="shared" si="27"/>
        <v>0.97222222222222221</v>
      </c>
      <c r="P277" s="4">
        <f t="shared" si="28"/>
        <v>8.4700107290949269</v>
      </c>
    </row>
    <row r="278" spans="1:16">
      <c r="A278" s="1">
        <v>1277</v>
      </c>
      <c r="B278" s="1">
        <f t="shared" si="24"/>
        <v>2.25</v>
      </c>
      <c r="C278" s="3">
        <v>3</v>
      </c>
      <c r="D278" s="3">
        <v>2</v>
      </c>
      <c r="E278" s="3">
        <v>3</v>
      </c>
      <c r="G278" s="3">
        <v>101.41500000000001</v>
      </c>
      <c r="H278" s="3">
        <v>1</v>
      </c>
      <c r="I278" s="3">
        <v>6</v>
      </c>
      <c r="J278" s="3">
        <v>0</v>
      </c>
      <c r="K278" s="3">
        <f t="shared" si="25"/>
        <v>5.25</v>
      </c>
      <c r="L278" s="3">
        <f t="shared" si="23"/>
        <v>2.2367045454545456</v>
      </c>
      <c r="M278" s="3">
        <v>45</v>
      </c>
      <c r="N278" s="3">
        <f t="shared" si="26"/>
        <v>0.99844363772669875</v>
      </c>
      <c r="O278" s="3">
        <f t="shared" si="27"/>
        <v>0.88888888888888884</v>
      </c>
      <c r="P278" s="4">
        <f t="shared" si="28"/>
        <v>7.1373325266155874</v>
      </c>
    </row>
    <row r="279" spans="1:16" s="6" customFormat="1">
      <c r="A279" s="5">
        <v>1278</v>
      </c>
      <c r="B279" s="5">
        <f t="shared" si="24"/>
        <v>3</v>
      </c>
      <c r="C279" s="6">
        <v>0</v>
      </c>
      <c r="D279" s="6">
        <v>2</v>
      </c>
      <c r="E279" s="6">
        <v>2</v>
      </c>
      <c r="G279" s="6">
        <v>101.41500000000001</v>
      </c>
      <c r="H279" s="6">
        <v>1</v>
      </c>
      <c r="I279" s="6">
        <v>6</v>
      </c>
      <c r="J279" s="6">
        <v>0</v>
      </c>
      <c r="K279" s="6">
        <f t="shared" si="25"/>
        <v>9</v>
      </c>
      <c r="L279" s="6">
        <f t="shared" si="23"/>
        <v>2.3048863636363639</v>
      </c>
      <c r="M279" s="6">
        <v>45</v>
      </c>
      <c r="N279" s="6">
        <f t="shared" si="26"/>
        <v>0.99741789736857212</v>
      </c>
      <c r="O279" s="6">
        <f t="shared" si="27"/>
        <v>0.97222222222222221</v>
      </c>
      <c r="P279" s="7">
        <f t="shared" si="28"/>
        <v>10.969640119590794</v>
      </c>
    </row>
    <row r="280" spans="1:16" s="6" customFormat="1">
      <c r="A280" s="5">
        <v>1279</v>
      </c>
      <c r="B280" s="5">
        <f t="shared" si="24"/>
        <v>3.75</v>
      </c>
      <c r="C280" s="6">
        <v>1.75</v>
      </c>
      <c r="D280" s="6">
        <v>0.9</v>
      </c>
      <c r="E280" s="6">
        <v>1</v>
      </c>
      <c r="G280" s="6">
        <v>101.41500000000001</v>
      </c>
      <c r="H280" s="6">
        <v>1</v>
      </c>
      <c r="I280" s="6">
        <v>6</v>
      </c>
      <c r="J280" s="6">
        <v>0</v>
      </c>
      <c r="K280" s="6">
        <f t="shared" si="25"/>
        <v>8</v>
      </c>
      <c r="L280" s="6">
        <f t="shared" si="23"/>
        <v>2.2651136363636364</v>
      </c>
      <c r="M280" s="6">
        <v>45</v>
      </c>
      <c r="N280" s="6">
        <f t="shared" si="26"/>
        <v>0.94823513221705691</v>
      </c>
      <c r="O280" s="6">
        <f t="shared" si="27"/>
        <v>1</v>
      </c>
      <c r="P280" s="7">
        <f t="shared" si="28"/>
        <v>9.9482351322170572</v>
      </c>
    </row>
    <row r="281" spans="1:16">
      <c r="A281" s="1">
        <v>1280</v>
      </c>
      <c r="B281" s="1">
        <f t="shared" si="24"/>
        <v>4.5</v>
      </c>
      <c r="C281" s="3">
        <v>1</v>
      </c>
      <c r="D281" s="3">
        <v>2</v>
      </c>
      <c r="E281" s="3">
        <v>4</v>
      </c>
      <c r="G281" s="3">
        <v>101.41500000000001</v>
      </c>
      <c r="H281" s="3">
        <v>1</v>
      </c>
      <c r="I281" s="3">
        <v>6</v>
      </c>
      <c r="J281" s="3">
        <v>0</v>
      </c>
      <c r="K281" s="3">
        <f t="shared" si="25"/>
        <v>9.5</v>
      </c>
      <c r="L281" s="3">
        <f t="shared" si="23"/>
        <v>2.282159090909091</v>
      </c>
      <c r="M281" s="3">
        <v>45</v>
      </c>
      <c r="N281" s="3">
        <f t="shared" si="26"/>
        <v>0.99778850687270426</v>
      </c>
      <c r="O281" s="3">
        <f t="shared" si="27"/>
        <v>0.75</v>
      </c>
      <c r="P281" s="4">
        <f t="shared" si="28"/>
        <v>11.247788506872704</v>
      </c>
    </row>
    <row r="282" spans="1:16">
      <c r="A282" s="1">
        <v>1281</v>
      </c>
      <c r="B282" s="1">
        <f t="shared" si="24"/>
        <v>1.5</v>
      </c>
      <c r="C282" s="3">
        <v>0.5</v>
      </c>
      <c r="D282" s="3">
        <v>2</v>
      </c>
      <c r="E282" s="3">
        <v>2</v>
      </c>
      <c r="G282" s="3">
        <v>101.41500000000001</v>
      </c>
      <c r="H282" s="3">
        <v>1</v>
      </c>
      <c r="I282" s="3">
        <v>6</v>
      </c>
      <c r="J282" s="3">
        <v>0</v>
      </c>
      <c r="K282" s="3">
        <f t="shared" si="25"/>
        <v>7</v>
      </c>
      <c r="L282" s="3">
        <f t="shared" si="23"/>
        <v>2.2935227272727272</v>
      </c>
      <c r="M282" s="3">
        <v>45</v>
      </c>
      <c r="N282" s="3">
        <f t="shared" si="26"/>
        <v>0.99760678912706613</v>
      </c>
      <c r="O282" s="3">
        <f t="shared" si="27"/>
        <v>0.97222222222222221</v>
      </c>
      <c r="P282" s="4">
        <f t="shared" si="28"/>
        <v>8.9698290113492885</v>
      </c>
    </row>
    <row r="283" spans="1:16">
      <c r="A283" s="1">
        <v>1282</v>
      </c>
      <c r="B283" s="1">
        <f t="shared" si="24"/>
        <v>2.25</v>
      </c>
      <c r="C283" s="3">
        <v>1.25</v>
      </c>
      <c r="D283" s="3">
        <v>2.6</v>
      </c>
      <c r="E283" s="3">
        <v>3</v>
      </c>
      <c r="G283" s="3">
        <v>101.41500000000001</v>
      </c>
      <c r="H283" s="3">
        <v>1</v>
      </c>
      <c r="I283" s="3">
        <v>6</v>
      </c>
      <c r="J283" s="3">
        <v>0</v>
      </c>
      <c r="K283" s="3">
        <f t="shared" si="25"/>
        <v>7</v>
      </c>
      <c r="L283" s="3">
        <f t="shared" si="23"/>
        <v>2.2764772727272731</v>
      </c>
      <c r="M283" s="3">
        <v>45</v>
      </c>
      <c r="N283" s="3">
        <f t="shared" si="26"/>
        <v>0.99709258458161154</v>
      </c>
      <c r="O283" s="3">
        <f t="shared" si="27"/>
        <v>0.88888888888888884</v>
      </c>
      <c r="P283" s="4">
        <f t="shared" si="28"/>
        <v>8.8859814734705012</v>
      </c>
    </row>
    <row r="284" spans="1:16">
      <c r="A284" s="1">
        <v>1283</v>
      </c>
      <c r="B284" s="1">
        <f t="shared" si="24"/>
        <v>3</v>
      </c>
      <c r="C284" s="3">
        <v>1.4</v>
      </c>
      <c r="D284" s="3">
        <v>1.4</v>
      </c>
      <c r="E284" s="3">
        <v>1.56</v>
      </c>
      <c r="G284" s="3">
        <v>101.41500000000001</v>
      </c>
      <c r="H284" s="3">
        <v>1</v>
      </c>
      <c r="I284" s="3">
        <v>6</v>
      </c>
      <c r="J284" s="3">
        <v>0</v>
      </c>
      <c r="K284" s="3">
        <f t="shared" si="25"/>
        <v>7.6</v>
      </c>
      <c r="L284" s="3">
        <f t="shared" si="23"/>
        <v>2.2730681818181817</v>
      </c>
      <c r="M284" s="3">
        <v>45</v>
      </c>
      <c r="N284" s="3">
        <f t="shared" si="26"/>
        <v>0.97882644305268596</v>
      </c>
      <c r="O284" s="3">
        <f t="shared" si="27"/>
        <v>0.99128888888888889</v>
      </c>
      <c r="P284" s="4">
        <f t="shared" si="28"/>
        <v>9.5701153319415742</v>
      </c>
    </row>
    <row r="285" spans="1:16">
      <c r="A285" s="1">
        <v>1284</v>
      </c>
      <c r="B285" s="1">
        <f t="shared" si="24"/>
        <v>3.75</v>
      </c>
      <c r="C285" s="3">
        <v>1</v>
      </c>
      <c r="D285" s="3">
        <v>1.5</v>
      </c>
      <c r="E285" s="3">
        <v>2</v>
      </c>
      <c r="G285" s="3">
        <v>101.41500000000001</v>
      </c>
      <c r="H285" s="3">
        <v>1</v>
      </c>
      <c r="I285" s="3">
        <v>6</v>
      </c>
      <c r="J285" s="3">
        <v>0</v>
      </c>
      <c r="K285" s="3">
        <f t="shared" si="25"/>
        <v>8.75</v>
      </c>
      <c r="L285" s="3">
        <f t="shared" si="23"/>
        <v>2.282159090909091</v>
      </c>
      <c r="M285" s="3">
        <v>45</v>
      </c>
      <c r="N285" s="3">
        <f t="shared" si="26"/>
        <v>0.9830063099030073</v>
      </c>
      <c r="O285" s="3">
        <f t="shared" si="27"/>
        <v>0.97222222222222221</v>
      </c>
      <c r="P285" s="4">
        <f t="shared" si="28"/>
        <v>10.705228532125229</v>
      </c>
    </row>
    <row r="286" spans="1:16">
      <c r="A286" s="1">
        <v>1285</v>
      </c>
      <c r="B286" s="1">
        <f t="shared" si="24"/>
        <v>4.5</v>
      </c>
      <c r="C286" s="3">
        <v>4</v>
      </c>
      <c r="D286" s="3">
        <v>4</v>
      </c>
      <c r="E286" s="3">
        <v>5</v>
      </c>
      <c r="G286" s="3">
        <v>101.41500000000001</v>
      </c>
      <c r="H286" s="3">
        <v>1</v>
      </c>
      <c r="I286" s="3">
        <v>6</v>
      </c>
      <c r="J286" s="3">
        <v>0</v>
      </c>
      <c r="K286" s="3">
        <f t="shared" si="25"/>
        <v>6.5</v>
      </c>
      <c r="L286" s="3">
        <f t="shared" si="23"/>
        <v>2.2139772727272731</v>
      </c>
      <c r="M286" s="3">
        <v>45</v>
      </c>
      <c r="N286" s="3">
        <f t="shared" si="26"/>
        <v>0.91139230049070252</v>
      </c>
      <c r="O286" s="3">
        <f t="shared" si="27"/>
        <v>0.55555555555555558</v>
      </c>
      <c r="P286" s="4">
        <f t="shared" si="28"/>
        <v>7.9669478560462581</v>
      </c>
    </row>
    <row r="287" spans="1:16">
      <c r="A287" s="1">
        <v>1286</v>
      </c>
      <c r="B287" s="1">
        <f t="shared" si="24"/>
        <v>1.5</v>
      </c>
      <c r="C287" s="3">
        <v>2</v>
      </c>
      <c r="D287" s="3">
        <v>2.5</v>
      </c>
      <c r="E287" s="3">
        <v>3</v>
      </c>
      <c r="G287" s="3">
        <v>101.41500000000001</v>
      </c>
      <c r="H287" s="3">
        <v>1</v>
      </c>
      <c r="I287" s="3">
        <v>6</v>
      </c>
      <c r="J287" s="3">
        <v>0</v>
      </c>
      <c r="K287" s="3">
        <f t="shared" si="25"/>
        <v>5.5</v>
      </c>
      <c r="L287" s="3">
        <f t="shared" si="23"/>
        <v>2.2594318181818185</v>
      </c>
      <c r="M287" s="3">
        <v>45</v>
      </c>
      <c r="N287" s="3">
        <f t="shared" si="26"/>
        <v>0.99839241527490818</v>
      </c>
      <c r="O287" s="3">
        <f t="shared" si="27"/>
        <v>0.88888888888888884</v>
      </c>
      <c r="P287" s="4">
        <f t="shared" si="28"/>
        <v>7.3872813041637979</v>
      </c>
    </row>
    <row r="288" spans="1:16">
      <c r="A288" s="1">
        <v>1287</v>
      </c>
      <c r="B288" s="1">
        <f t="shared" si="24"/>
        <v>2.25</v>
      </c>
      <c r="C288" s="3">
        <v>5</v>
      </c>
      <c r="D288" s="3">
        <v>4</v>
      </c>
      <c r="E288" s="3">
        <v>3</v>
      </c>
      <c r="G288" s="3">
        <v>101.41500000000001</v>
      </c>
      <c r="H288" s="3">
        <v>1</v>
      </c>
      <c r="I288" s="3">
        <v>6</v>
      </c>
      <c r="J288" s="3">
        <v>0</v>
      </c>
      <c r="K288" s="3">
        <f t="shared" si="25"/>
        <v>3.25</v>
      </c>
      <c r="L288" s="3">
        <f t="shared" si="23"/>
        <v>2.1912500000000001</v>
      </c>
      <c r="M288" s="3">
        <v>45</v>
      </c>
      <c r="N288" s="3">
        <f t="shared" si="26"/>
        <v>0.90912287326388896</v>
      </c>
      <c r="O288" s="3">
        <f t="shared" si="27"/>
        <v>0.88888888888888884</v>
      </c>
      <c r="P288" s="4">
        <f t="shared" si="28"/>
        <v>5.0480117621527771</v>
      </c>
    </row>
    <row r="289" spans="1:53">
      <c r="A289" s="1">
        <v>1288</v>
      </c>
      <c r="B289" s="1">
        <f t="shared" si="24"/>
        <v>3</v>
      </c>
      <c r="C289" s="3">
        <v>2.5</v>
      </c>
      <c r="D289" s="3">
        <v>4</v>
      </c>
      <c r="E289" s="3">
        <v>3.5</v>
      </c>
      <c r="G289" s="3">
        <v>101.41500000000001</v>
      </c>
      <c r="H289" s="3">
        <v>1</v>
      </c>
      <c r="I289" s="3">
        <v>6</v>
      </c>
      <c r="J289" s="3">
        <v>0</v>
      </c>
      <c r="K289" s="3">
        <f t="shared" si="25"/>
        <v>6.5</v>
      </c>
      <c r="L289" s="3">
        <f t="shared" si="23"/>
        <v>2.2480681818181818</v>
      </c>
      <c r="M289" s="3">
        <v>45</v>
      </c>
      <c r="N289" s="3">
        <f t="shared" si="26"/>
        <v>0.91474263623450414</v>
      </c>
      <c r="O289" s="3">
        <f t="shared" si="27"/>
        <v>0.82638888888888884</v>
      </c>
      <c r="P289" s="4">
        <f t="shared" si="28"/>
        <v>8.241131525123393</v>
      </c>
    </row>
    <row r="290" spans="1:53">
      <c r="A290" s="1">
        <v>1289</v>
      </c>
      <c r="B290" s="1">
        <f t="shared" si="24"/>
        <v>3.75</v>
      </c>
      <c r="C290" s="3">
        <v>3.5</v>
      </c>
      <c r="D290" s="3">
        <v>4</v>
      </c>
      <c r="E290" s="3">
        <v>4</v>
      </c>
      <c r="G290" s="3">
        <v>101.41500000000001</v>
      </c>
      <c r="H290" s="3">
        <v>1</v>
      </c>
      <c r="I290" s="3">
        <v>6</v>
      </c>
      <c r="J290" s="3">
        <v>0</v>
      </c>
      <c r="K290" s="3">
        <f t="shared" si="25"/>
        <v>6.25</v>
      </c>
      <c r="L290" s="3">
        <f t="shared" si="23"/>
        <v>2.2253409090909093</v>
      </c>
      <c r="M290" s="3">
        <v>45</v>
      </c>
      <c r="N290" s="3">
        <f t="shared" si="26"/>
        <v>0.91251625308482553</v>
      </c>
      <c r="O290" s="3">
        <f t="shared" si="27"/>
        <v>0.75</v>
      </c>
      <c r="P290" s="4">
        <f t="shared" si="28"/>
        <v>7.9125162530848252</v>
      </c>
    </row>
    <row r="291" spans="1:53">
      <c r="A291" s="1">
        <v>1290</v>
      </c>
      <c r="B291" s="1">
        <f t="shared" si="24"/>
        <v>4.5</v>
      </c>
      <c r="C291" s="3">
        <v>0</v>
      </c>
      <c r="D291" s="3">
        <v>1</v>
      </c>
      <c r="E291" s="3">
        <v>0.1</v>
      </c>
      <c r="G291" s="3">
        <v>101.41500000000001</v>
      </c>
      <c r="H291" s="3">
        <v>1</v>
      </c>
      <c r="I291" s="3">
        <v>6</v>
      </c>
      <c r="J291" s="3">
        <v>0</v>
      </c>
      <c r="K291" s="3">
        <f t="shared" si="25"/>
        <v>10.5</v>
      </c>
      <c r="L291" s="3">
        <f t="shared" si="23"/>
        <v>2.3048863636363639</v>
      </c>
      <c r="M291" s="3">
        <v>45</v>
      </c>
      <c r="N291" s="3">
        <f t="shared" si="26"/>
        <v>0.95270198827766295</v>
      </c>
      <c r="O291" s="3">
        <f t="shared" si="27"/>
        <v>0.97750000000000004</v>
      </c>
      <c r="P291" s="4">
        <f t="shared" si="28"/>
        <v>12.430201988277663</v>
      </c>
    </row>
    <row r="292" spans="1:53">
      <c r="A292" s="1">
        <v>1291</v>
      </c>
      <c r="B292" s="1">
        <f t="shared" si="24"/>
        <v>1.5</v>
      </c>
      <c r="C292" s="3">
        <v>0.5</v>
      </c>
      <c r="D292" s="3">
        <v>1.8</v>
      </c>
      <c r="E292" s="3">
        <v>1.5</v>
      </c>
      <c r="G292" s="3">
        <v>101.41500000000001</v>
      </c>
      <c r="H292" s="3">
        <v>1</v>
      </c>
      <c r="I292" s="3">
        <v>6</v>
      </c>
      <c r="J292" s="3">
        <v>0</v>
      </c>
      <c r="K292" s="3">
        <f t="shared" si="25"/>
        <v>7</v>
      </c>
      <c r="L292" s="3">
        <f t="shared" si="23"/>
        <v>2.2935227272727272</v>
      </c>
      <c r="M292" s="3">
        <v>45</v>
      </c>
      <c r="N292" s="3">
        <f t="shared" si="26"/>
        <v>0.99323431437959142</v>
      </c>
      <c r="O292" s="3">
        <f t="shared" si="27"/>
        <v>0.99305555555555558</v>
      </c>
      <c r="P292" s="4">
        <f t="shared" si="28"/>
        <v>8.9862898699351472</v>
      </c>
    </row>
    <row r="293" spans="1:53" s="6" customFormat="1">
      <c r="A293" s="5">
        <v>1292</v>
      </c>
      <c r="B293" s="5">
        <f t="shared" si="24"/>
        <v>2.25</v>
      </c>
      <c r="C293" s="6">
        <v>3</v>
      </c>
      <c r="D293" s="6">
        <v>3</v>
      </c>
      <c r="E293" s="6">
        <v>3</v>
      </c>
      <c r="G293" s="6">
        <v>101.41500000000001</v>
      </c>
      <c r="H293" s="6">
        <v>1</v>
      </c>
      <c r="I293" s="6">
        <v>6</v>
      </c>
      <c r="J293" s="6">
        <v>0</v>
      </c>
      <c r="K293" s="6">
        <f t="shared" si="25"/>
        <v>5.25</v>
      </c>
      <c r="L293" s="6">
        <f t="shared" si="23"/>
        <v>2.2367045454545456</v>
      </c>
      <c r="M293" s="6">
        <v>45</v>
      </c>
      <c r="N293" s="6">
        <f t="shared" si="26"/>
        <v>0.98381611247417355</v>
      </c>
      <c r="O293" s="6">
        <f t="shared" si="27"/>
        <v>0.88888888888888884</v>
      </c>
      <c r="P293" s="7">
        <f t="shared" si="28"/>
        <v>7.1227050013630624</v>
      </c>
    </row>
    <row r="294" spans="1:53">
      <c r="A294" s="1">
        <v>1293</v>
      </c>
      <c r="B294" s="1">
        <f t="shared" si="24"/>
        <v>3</v>
      </c>
      <c r="C294" s="3">
        <v>5</v>
      </c>
      <c r="D294" s="3">
        <v>3</v>
      </c>
      <c r="E294" s="3">
        <v>3</v>
      </c>
      <c r="G294" s="3">
        <v>101.41500000000001</v>
      </c>
      <c r="H294" s="3">
        <v>1</v>
      </c>
      <c r="I294" s="3">
        <v>6</v>
      </c>
      <c r="J294" s="3">
        <v>0</v>
      </c>
      <c r="K294" s="3">
        <f t="shared" si="25"/>
        <v>4</v>
      </c>
      <c r="L294" s="3">
        <f t="shared" si="23"/>
        <v>2.1912500000000001</v>
      </c>
      <c r="M294" s="3">
        <v>45</v>
      </c>
      <c r="N294" s="3">
        <f t="shared" si="26"/>
        <v>0.98183120659722223</v>
      </c>
      <c r="O294" s="3">
        <f t="shared" si="27"/>
        <v>0.88888888888888884</v>
      </c>
      <c r="P294" s="4">
        <f t="shared" si="28"/>
        <v>5.8707200954861118</v>
      </c>
    </row>
    <row r="295" spans="1:53">
      <c r="A295" s="1">
        <v>1294</v>
      </c>
      <c r="B295" s="1">
        <f t="shared" si="24"/>
        <v>3.75</v>
      </c>
      <c r="C295" s="3">
        <v>3</v>
      </c>
      <c r="D295" s="3">
        <v>3</v>
      </c>
      <c r="E295" s="3">
        <v>3</v>
      </c>
      <c r="G295" s="3">
        <v>101.41500000000001</v>
      </c>
      <c r="H295" s="3">
        <v>1</v>
      </c>
      <c r="I295" s="3">
        <v>6</v>
      </c>
      <c r="J295" s="3">
        <v>0</v>
      </c>
      <c r="K295" s="3">
        <f t="shared" si="25"/>
        <v>6.75</v>
      </c>
      <c r="L295" s="3">
        <f t="shared" si="23"/>
        <v>2.2367045454545456</v>
      </c>
      <c r="M295" s="3">
        <v>45</v>
      </c>
      <c r="N295" s="3">
        <f t="shared" si="26"/>
        <v>0.98381611247417355</v>
      </c>
      <c r="O295" s="3">
        <f t="shared" si="27"/>
        <v>0.88888888888888884</v>
      </c>
      <c r="P295" s="4">
        <f t="shared" si="28"/>
        <v>8.6227050013630624</v>
      </c>
    </row>
    <row r="296" spans="1:53">
      <c r="A296" s="1">
        <v>1295</v>
      </c>
      <c r="B296" s="1">
        <f t="shared" si="24"/>
        <v>4.5</v>
      </c>
      <c r="C296" s="3">
        <v>1</v>
      </c>
      <c r="D296" s="3">
        <v>2</v>
      </c>
      <c r="E296" s="3">
        <v>4.5</v>
      </c>
      <c r="G296" s="3">
        <v>101.41500000000001</v>
      </c>
      <c r="H296" s="3">
        <v>1</v>
      </c>
      <c r="I296" s="3">
        <v>6</v>
      </c>
      <c r="J296" s="3">
        <v>0</v>
      </c>
      <c r="K296" s="3">
        <f t="shared" si="25"/>
        <v>9.5</v>
      </c>
      <c r="L296" s="3">
        <f t="shared" si="23"/>
        <v>2.282159090909091</v>
      </c>
      <c r="M296" s="3">
        <v>45</v>
      </c>
      <c r="N296" s="3">
        <f t="shared" si="26"/>
        <v>0.99778850687270426</v>
      </c>
      <c r="O296" s="3">
        <f t="shared" si="27"/>
        <v>0.65972222222222232</v>
      </c>
      <c r="P296" s="4">
        <f t="shared" si="28"/>
        <v>11.157510729094927</v>
      </c>
    </row>
    <row r="297" spans="1:53">
      <c r="A297" s="1">
        <v>1296</v>
      </c>
      <c r="B297" s="1">
        <f t="shared" si="24"/>
        <v>1.5</v>
      </c>
      <c r="J297" s="3"/>
      <c r="K297" s="3"/>
      <c r="L297" s="3"/>
      <c r="M297" s="3"/>
      <c r="N297" s="3"/>
      <c r="O297" s="3"/>
    </row>
    <row r="298" spans="1:53">
      <c r="A298" s="1">
        <v>1297</v>
      </c>
      <c r="B298" s="1">
        <f t="shared" si="24"/>
        <v>2.25</v>
      </c>
      <c r="J298" s="3"/>
      <c r="K298" s="3"/>
      <c r="L298" s="3"/>
      <c r="N298" s="3"/>
      <c r="O298" s="3"/>
    </row>
    <row r="299" spans="1:53">
      <c r="A299" s="1">
        <v>1298</v>
      </c>
      <c r="B299" s="1">
        <f t="shared" si="24"/>
        <v>3</v>
      </c>
      <c r="J299" s="3"/>
      <c r="K299" s="3"/>
      <c r="L299" s="3"/>
      <c r="N299" s="3"/>
      <c r="O299" s="3"/>
    </row>
    <row r="300" spans="1:53">
      <c r="A300" s="1">
        <v>1299</v>
      </c>
      <c r="B300" s="1">
        <f t="shared" si="24"/>
        <v>3.75</v>
      </c>
      <c r="J300" s="3"/>
      <c r="K300" s="3"/>
      <c r="L300" s="3"/>
      <c r="N300" s="3"/>
      <c r="O300" s="3"/>
    </row>
    <row r="301" spans="1:53">
      <c r="A301" s="1">
        <v>1300</v>
      </c>
      <c r="B301" s="1">
        <f t="shared" si="24"/>
        <v>4.5</v>
      </c>
      <c r="J301" s="3"/>
      <c r="K301" s="3"/>
      <c r="L301" s="3"/>
      <c r="N301" s="3"/>
      <c r="O301" s="3"/>
      <c r="AZ301">
        <v>0</v>
      </c>
    </row>
    <row r="302" spans="1:53">
      <c r="A302" s="1">
        <v>1301</v>
      </c>
      <c r="B302" s="1">
        <f t="shared" si="24"/>
        <v>1.5</v>
      </c>
      <c r="C302">
        <v>0</v>
      </c>
      <c r="D302">
        <v>0.6</v>
      </c>
      <c r="E302">
        <v>1.5</v>
      </c>
      <c r="F302">
        <v>1312</v>
      </c>
      <c r="G302">
        <v>131.52000427246094</v>
      </c>
      <c r="H302" s="3">
        <v>1</v>
      </c>
      <c r="I302" s="3">
        <v>6</v>
      </c>
      <c r="J302" s="3">
        <v>0</v>
      </c>
      <c r="K302" s="3">
        <f t="shared" si="25"/>
        <v>7.5</v>
      </c>
      <c r="L302" s="3">
        <f t="shared" ref="L302:L346" si="29">(G302-C302)/(M302-1)</f>
        <v>2.989091006192294</v>
      </c>
      <c r="M302">
        <v>45</v>
      </c>
      <c r="N302" s="3">
        <f t="shared" si="26"/>
        <v>0.84145122678141926</v>
      </c>
      <c r="O302" s="3">
        <f t="shared" si="27"/>
        <v>0.99305555555555558</v>
      </c>
      <c r="P302" s="4">
        <f t="shared" si="28"/>
        <v>9.334506782336975</v>
      </c>
      <c r="AY302">
        <v>0</v>
      </c>
      <c r="AZ302">
        <v>0</v>
      </c>
      <c r="BA302">
        <v>0.25170010328292847</v>
      </c>
    </row>
    <row r="303" spans="1:53">
      <c r="A303" s="1">
        <v>1302</v>
      </c>
      <c r="B303" s="1">
        <f t="shared" si="24"/>
        <v>2.25</v>
      </c>
      <c r="C303">
        <v>2.25</v>
      </c>
      <c r="D303">
        <v>2.5</v>
      </c>
      <c r="E303">
        <v>1.5</v>
      </c>
      <c r="F303">
        <v>1312</v>
      </c>
      <c r="G303">
        <v>131.52000427246094</v>
      </c>
      <c r="H303" s="3">
        <v>1</v>
      </c>
      <c r="I303" s="3">
        <v>6</v>
      </c>
      <c r="J303" s="3">
        <v>0</v>
      </c>
      <c r="K303" s="3">
        <f t="shared" si="25"/>
        <v>6</v>
      </c>
      <c r="L303" s="3">
        <f t="shared" si="29"/>
        <v>2.9379546425559302</v>
      </c>
      <c r="M303" s="3">
        <v>45</v>
      </c>
      <c r="N303" s="3">
        <f t="shared" si="26"/>
        <v>0.9946721036406585</v>
      </c>
      <c r="O303" s="3">
        <f t="shared" si="27"/>
        <v>0.99305555555555558</v>
      </c>
      <c r="P303" s="4">
        <f t="shared" si="28"/>
        <v>7.9877276591962136</v>
      </c>
      <c r="AY303">
        <v>1.7107663677829798E-2</v>
      </c>
      <c r="AZ303">
        <v>1.7107663677829798E-2</v>
      </c>
      <c r="BA303">
        <v>0.25170010328292847</v>
      </c>
    </row>
    <row r="304" spans="1:53">
      <c r="A304" s="1">
        <v>1303</v>
      </c>
      <c r="B304" s="1">
        <f t="shared" si="24"/>
        <v>3</v>
      </c>
      <c r="C304">
        <v>4</v>
      </c>
      <c r="D304">
        <v>3</v>
      </c>
      <c r="E304">
        <v>3</v>
      </c>
      <c r="F304">
        <v>1312</v>
      </c>
      <c r="G304">
        <v>131.52000427246094</v>
      </c>
      <c r="H304" s="3">
        <v>1</v>
      </c>
      <c r="I304" s="3">
        <v>6</v>
      </c>
      <c r="J304" s="3">
        <v>0</v>
      </c>
      <c r="K304" s="3">
        <f t="shared" si="25"/>
        <v>5</v>
      </c>
      <c r="L304" s="3">
        <f t="shared" si="29"/>
        <v>2.8981819152832031</v>
      </c>
      <c r="M304" s="3">
        <v>45</v>
      </c>
      <c r="N304" s="3">
        <f t="shared" si="26"/>
        <v>0.99971202993401675</v>
      </c>
      <c r="O304" s="3">
        <f t="shared" si="27"/>
        <v>0.88888888888888884</v>
      </c>
      <c r="P304" s="4">
        <f t="shared" si="28"/>
        <v>6.888600918822906</v>
      </c>
      <c r="AY304">
        <v>3.0413624316141866E-2</v>
      </c>
      <c r="AZ304">
        <v>4.7521287993971664E-2</v>
      </c>
      <c r="BA304">
        <v>0.25170010328292847</v>
      </c>
    </row>
    <row r="305" spans="1:53">
      <c r="A305" s="1">
        <v>1304</v>
      </c>
      <c r="B305" s="1">
        <f t="shared" si="24"/>
        <v>3.75</v>
      </c>
      <c r="C305">
        <v>6</v>
      </c>
      <c r="D305">
        <v>1</v>
      </c>
      <c r="E305">
        <v>2</v>
      </c>
      <c r="F305">
        <v>1312</v>
      </c>
      <c r="G305">
        <v>131.52000427246094</v>
      </c>
      <c r="H305" s="3">
        <v>1</v>
      </c>
      <c r="I305" s="3">
        <v>6</v>
      </c>
      <c r="J305" s="3">
        <v>0</v>
      </c>
      <c r="K305" s="3">
        <f t="shared" si="25"/>
        <v>3.75</v>
      </c>
      <c r="L305" s="3">
        <f t="shared" si="29"/>
        <v>2.8527273698286577</v>
      </c>
      <c r="M305" s="3">
        <v>45</v>
      </c>
      <c r="N305" s="3">
        <f t="shared" si="26"/>
        <v>0.90465003591910509</v>
      </c>
      <c r="O305" s="3">
        <f t="shared" si="27"/>
        <v>0.97222222222222221</v>
      </c>
      <c r="P305" s="4">
        <f t="shared" si="28"/>
        <v>5.6268722581413275</v>
      </c>
      <c r="AY305">
        <v>4.5620436474212801E-2</v>
      </c>
      <c r="AZ305">
        <v>9.3141724468184472E-2</v>
      </c>
      <c r="BA305">
        <v>0.25170010328292847</v>
      </c>
    </row>
    <row r="306" spans="1:53">
      <c r="A306" s="1">
        <v>1305</v>
      </c>
      <c r="B306" s="1">
        <f t="shared" si="24"/>
        <v>4.5</v>
      </c>
      <c r="C306">
        <v>5</v>
      </c>
      <c r="D306">
        <v>2</v>
      </c>
      <c r="E306">
        <v>3</v>
      </c>
      <c r="F306">
        <v>1312</v>
      </c>
      <c r="G306">
        <v>131.52000427246094</v>
      </c>
      <c r="H306" s="3">
        <v>1</v>
      </c>
      <c r="I306" s="3">
        <v>6</v>
      </c>
      <c r="J306" s="3">
        <v>0</v>
      </c>
      <c r="K306" s="3">
        <f t="shared" si="25"/>
        <v>5.5</v>
      </c>
      <c r="L306" s="3">
        <f t="shared" si="29"/>
        <v>2.8754546425559302</v>
      </c>
      <c r="M306" s="3">
        <v>45</v>
      </c>
      <c r="N306" s="3">
        <f t="shared" si="26"/>
        <v>0.97871053246742412</v>
      </c>
      <c r="O306" s="3">
        <f t="shared" si="27"/>
        <v>0.88888888888888884</v>
      </c>
      <c r="P306" s="4">
        <f t="shared" si="28"/>
        <v>7.3675994213563136</v>
      </c>
      <c r="AY306">
        <v>3.8017030395177329E-2</v>
      </c>
      <c r="AZ306">
        <v>0.13115875486336181</v>
      </c>
      <c r="BA306">
        <v>0.25170010328292847</v>
      </c>
    </row>
    <row r="307" spans="1:53">
      <c r="A307" s="1">
        <v>1306</v>
      </c>
      <c r="B307" s="1">
        <f t="shared" si="24"/>
        <v>1.5</v>
      </c>
      <c r="C307">
        <v>0</v>
      </c>
      <c r="D307">
        <v>1</v>
      </c>
      <c r="E307">
        <v>2</v>
      </c>
      <c r="F307">
        <v>1312</v>
      </c>
      <c r="G307">
        <v>131.52000427246094</v>
      </c>
      <c r="H307" s="3">
        <v>1</v>
      </c>
      <c r="I307" s="3">
        <v>6</v>
      </c>
      <c r="J307" s="3">
        <v>0</v>
      </c>
      <c r="K307" s="3">
        <f t="shared" si="25"/>
        <v>7.5</v>
      </c>
      <c r="L307" s="3">
        <f t="shared" si="29"/>
        <v>2.989091006192294</v>
      </c>
      <c r="M307" s="3">
        <v>45</v>
      </c>
      <c r="N307" s="3">
        <f t="shared" si="26"/>
        <v>0.89009769358569246</v>
      </c>
      <c r="O307" s="3">
        <f t="shared" si="27"/>
        <v>0.97222222222222221</v>
      </c>
      <c r="P307" s="4">
        <f t="shared" si="28"/>
        <v>9.3623199158079142</v>
      </c>
      <c r="AY307">
        <v>0</v>
      </c>
      <c r="AZ307">
        <v>0.13115875486336181</v>
      </c>
      <c r="BA307">
        <v>0.25170010328292847</v>
      </c>
    </row>
    <row r="308" spans="1:53">
      <c r="A308" s="1">
        <v>1307</v>
      </c>
      <c r="B308" s="1">
        <f t="shared" si="24"/>
        <v>2.25</v>
      </c>
      <c r="C308">
        <v>0.12</v>
      </c>
      <c r="D308">
        <v>0.2</v>
      </c>
      <c r="E308">
        <v>0.56000000000000005</v>
      </c>
      <c r="F308">
        <v>1312</v>
      </c>
      <c r="G308">
        <v>131.52000427246094</v>
      </c>
      <c r="H308" s="3">
        <v>1</v>
      </c>
      <c r="I308" s="3">
        <v>6</v>
      </c>
      <c r="J308" s="3">
        <v>0</v>
      </c>
      <c r="K308" s="3">
        <f t="shared" si="25"/>
        <v>8.129999999999999</v>
      </c>
      <c r="L308" s="3">
        <f t="shared" si="29"/>
        <v>2.986363733465021</v>
      </c>
      <c r="M308" s="3">
        <v>45</v>
      </c>
      <c r="N308" s="3">
        <f t="shared" si="26"/>
        <v>0.78433825402307977</v>
      </c>
      <c r="O308" s="3">
        <f t="shared" si="27"/>
        <v>0.99462222222222219</v>
      </c>
      <c r="P308" s="4">
        <f t="shared" si="28"/>
        <v>9.9089604762453014</v>
      </c>
      <c r="AY308">
        <v>9.1240872948425596E-4</v>
      </c>
      <c r="AZ308">
        <v>0.13207116359284607</v>
      </c>
      <c r="BA308">
        <v>0.25170010328292847</v>
      </c>
    </row>
    <row r="309" spans="1:53">
      <c r="A309" s="1">
        <v>1308</v>
      </c>
      <c r="B309" s="1">
        <f t="shared" si="24"/>
        <v>3</v>
      </c>
      <c r="C309">
        <v>3</v>
      </c>
      <c r="D309">
        <v>4</v>
      </c>
      <c r="E309">
        <v>3</v>
      </c>
      <c r="F309">
        <v>1312</v>
      </c>
      <c r="G309">
        <v>131.52000427246094</v>
      </c>
      <c r="H309" s="3">
        <v>1</v>
      </c>
      <c r="I309" s="3">
        <v>6</v>
      </c>
      <c r="J309" s="3">
        <v>0</v>
      </c>
      <c r="K309" s="3">
        <f t="shared" si="25"/>
        <v>6</v>
      </c>
      <c r="L309" s="3">
        <f t="shared" si="29"/>
        <v>2.9209091880104761</v>
      </c>
      <c r="M309" s="3">
        <v>45</v>
      </c>
      <c r="N309" s="3">
        <f t="shared" si="26"/>
        <v>0.9676545283188831</v>
      </c>
      <c r="O309" s="3">
        <f t="shared" si="27"/>
        <v>0.88888888888888884</v>
      </c>
      <c r="P309" s="4">
        <f t="shared" si="28"/>
        <v>7.8565434172077726</v>
      </c>
      <c r="AY309">
        <v>2.2810218237106401E-2</v>
      </c>
      <c r="AZ309">
        <v>0.15488138182995248</v>
      </c>
      <c r="BA309">
        <v>0.25170010328292847</v>
      </c>
    </row>
    <row r="310" spans="1:53">
      <c r="A310" s="1">
        <v>1309</v>
      </c>
      <c r="B310" s="1">
        <f t="shared" si="24"/>
        <v>3.75</v>
      </c>
      <c r="C310">
        <v>3.75</v>
      </c>
      <c r="D310">
        <v>3</v>
      </c>
      <c r="E310">
        <v>3</v>
      </c>
      <c r="F310">
        <v>1312</v>
      </c>
      <c r="G310">
        <v>131.52000427246094</v>
      </c>
      <c r="H310" s="3">
        <v>1</v>
      </c>
      <c r="I310" s="3">
        <v>6</v>
      </c>
      <c r="J310" s="3">
        <v>0</v>
      </c>
      <c r="K310" s="3">
        <f t="shared" si="25"/>
        <v>6</v>
      </c>
      <c r="L310" s="3">
        <f t="shared" si="29"/>
        <v>2.9038637334650215</v>
      </c>
      <c r="M310" s="3">
        <v>45</v>
      </c>
      <c r="N310" s="3">
        <f t="shared" si="26"/>
        <v>0.99974327272935326</v>
      </c>
      <c r="O310" s="3">
        <f t="shared" si="27"/>
        <v>0.88888888888888884</v>
      </c>
      <c r="P310" s="4">
        <f t="shared" si="28"/>
        <v>7.8886321616182418</v>
      </c>
      <c r="AY310">
        <v>2.8512772796383E-2</v>
      </c>
      <c r="AZ310">
        <v>0.18339415462633549</v>
      </c>
      <c r="BA310">
        <v>0.25170010328292847</v>
      </c>
    </row>
    <row r="311" spans="1:53">
      <c r="A311" s="1">
        <v>1310</v>
      </c>
      <c r="B311" s="1">
        <f t="shared" si="24"/>
        <v>4.5</v>
      </c>
      <c r="C311">
        <v>6</v>
      </c>
      <c r="D311">
        <v>3</v>
      </c>
      <c r="E311">
        <v>4.5</v>
      </c>
      <c r="F311">
        <v>1312</v>
      </c>
      <c r="G311">
        <v>131.52000427246094</v>
      </c>
      <c r="H311" s="3">
        <v>1</v>
      </c>
      <c r="I311" s="3">
        <v>6</v>
      </c>
      <c r="J311" s="3">
        <v>0</v>
      </c>
      <c r="K311" s="3">
        <f t="shared" si="25"/>
        <v>4.5</v>
      </c>
      <c r="L311" s="3">
        <f t="shared" si="29"/>
        <v>2.8527273698286577</v>
      </c>
      <c r="M311" s="3">
        <v>45</v>
      </c>
      <c r="N311" s="3">
        <f t="shared" si="26"/>
        <v>0.99939752145562266</v>
      </c>
      <c r="O311" s="3">
        <f t="shared" si="27"/>
        <v>0.65972222222222232</v>
      </c>
      <c r="P311" s="4">
        <f t="shared" si="28"/>
        <v>6.1591197436778451</v>
      </c>
      <c r="AY311">
        <v>4.5620436474212801E-2</v>
      </c>
      <c r="AZ311">
        <v>0.22901459110054828</v>
      </c>
      <c r="BA311">
        <v>0.25170010328292847</v>
      </c>
    </row>
    <row r="312" spans="1:53">
      <c r="A312" s="1">
        <v>1311</v>
      </c>
      <c r="B312" s="1">
        <f t="shared" si="24"/>
        <v>1.5</v>
      </c>
      <c r="C312">
        <v>1.5</v>
      </c>
      <c r="D312">
        <v>2.9</v>
      </c>
      <c r="E312">
        <v>3.1</v>
      </c>
      <c r="F312">
        <v>1312</v>
      </c>
      <c r="G312">
        <v>131.52000427246094</v>
      </c>
      <c r="H312" s="3">
        <v>1</v>
      </c>
      <c r="I312" s="3">
        <v>6</v>
      </c>
      <c r="J312" s="3">
        <v>0</v>
      </c>
      <c r="K312" s="3">
        <f t="shared" si="25"/>
        <v>6</v>
      </c>
      <c r="L312" s="3">
        <f t="shared" si="29"/>
        <v>2.9550000971013848</v>
      </c>
      <c r="M312" s="3">
        <v>45</v>
      </c>
      <c r="N312" s="3">
        <f t="shared" si="26"/>
        <v>0.99991597192552328</v>
      </c>
      <c r="O312" s="3">
        <f t="shared" si="27"/>
        <v>0.87749999999999995</v>
      </c>
      <c r="P312" s="4">
        <f t="shared" si="28"/>
        <v>7.8774159719255223</v>
      </c>
      <c r="AY312">
        <v>1.14051091185532E-2</v>
      </c>
      <c r="AZ312">
        <v>0.24041970021910147</v>
      </c>
      <c r="BA312">
        <v>0.25170010328292847</v>
      </c>
    </row>
    <row r="313" spans="1:53">
      <c r="A313" s="1">
        <v>1312</v>
      </c>
      <c r="B313" s="1">
        <f t="shared" si="24"/>
        <v>2.25</v>
      </c>
      <c r="C313">
        <v>1.5</v>
      </c>
      <c r="D313">
        <v>2</v>
      </c>
      <c r="E313">
        <v>2</v>
      </c>
      <c r="F313">
        <v>1312</v>
      </c>
      <c r="G313">
        <v>131.52000427246094</v>
      </c>
      <c r="H313" s="3">
        <v>1</v>
      </c>
      <c r="I313" s="3">
        <v>6</v>
      </c>
      <c r="J313" s="3">
        <f>G313-45</f>
        <v>86.520004272460938</v>
      </c>
      <c r="K313" s="3">
        <f>I313+H313*(B313-C313+J313)</f>
        <v>93.270004272460938</v>
      </c>
      <c r="L313" s="3">
        <f t="shared" si="29"/>
        <v>2.9550000971013848</v>
      </c>
      <c r="M313" s="3">
        <v>45</v>
      </c>
      <c r="N313" s="3">
        <f t="shared" si="26"/>
        <v>0.97466596707045405</v>
      </c>
      <c r="O313" s="3">
        <f t="shared" si="27"/>
        <v>0.97222222222222221</v>
      </c>
      <c r="P313" s="4">
        <f t="shared" si="28"/>
        <v>95.216892461753616</v>
      </c>
      <c r="AY313">
        <v>1.14051091185532E-2</v>
      </c>
      <c r="AZ313">
        <v>0.25182480933765466</v>
      </c>
      <c r="BA313">
        <v>0.25170010328292847</v>
      </c>
    </row>
    <row r="314" spans="1:53">
      <c r="A314" s="1">
        <v>1313</v>
      </c>
      <c r="B314" s="1">
        <f t="shared" si="24"/>
        <v>3</v>
      </c>
      <c r="C314">
        <v>3</v>
      </c>
      <c r="D314">
        <v>3</v>
      </c>
      <c r="E314">
        <v>3</v>
      </c>
      <c r="F314">
        <v>1312</v>
      </c>
      <c r="G314">
        <v>131.52000427246094</v>
      </c>
      <c r="H314" s="3">
        <v>1</v>
      </c>
      <c r="I314" s="3">
        <v>6</v>
      </c>
      <c r="J314" s="3">
        <v>0</v>
      </c>
      <c r="K314" s="3">
        <f t="shared" si="25"/>
        <v>6</v>
      </c>
      <c r="L314" s="3">
        <f t="shared" si="29"/>
        <v>2.9209091880104761</v>
      </c>
      <c r="M314" s="3">
        <v>45</v>
      </c>
      <c r="N314" s="3">
        <f t="shared" si="26"/>
        <v>0.99982624009607879</v>
      </c>
      <c r="O314" s="3">
        <f t="shared" si="27"/>
        <v>0.88888888888888884</v>
      </c>
      <c r="P314" s="4">
        <f t="shared" si="28"/>
        <v>7.888715128984968</v>
      </c>
      <c r="AY314">
        <v>2.2810218237106401E-2</v>
      </c>
      <c r="AZ314">
        <v>0.27463502757476105</v>
      </c>
      <c r="BA314">
        <v>0.25170010328292847</v>
      </c>
    </row>
    <row r="315" spans="1:53">
      <c r="A315" s="1">
        <v>1314</v>
      </c>
      <c r="B315" s="1">
        <f t="shared" si="24"/>
        <v>3.75</v>
      </c>
      <c r="C315">
        <v>5</v>
      </c>
      <c r="D315">
        <v>4.5</v>
      </c>
      <c r="E315">
        <v>3.75</v>
      </c>
      <c r="F315">
        <v>1312</v>
      </c>
      <c r="G315">
        <v>131.52000427246094</v>
      </c>
      <c r="H315" s="3">
        <v>1</v>
      </c>
      <c r="I315" s="3">
        <v>6</v>
      </c>
      <c r="J315" s="3">
        <v>0</v>
      </c>
      <c r="K315" s="3">
        <f t="shared" si="25"/>
        <v>4.75</v>
      </c>
      <c r="L315" s="3">
        <f t="shared" si="29"/>
        <v>2.8754546425559302</v>
      </c>
      <c r="M315" s="3">
        <v>45</v>
      </c>
      <c r="N315" s="3">
        <f t="shared" si="26"/>
        <v>0.92669034393352556</v>
      </c>
      <c r="O315" s="3">
        <f t="shared" si="27"/>
        <v>0.78993055555555558</v>
      </c>
      <c r="P315" s="4">
        <f t="shared" si="28"/>
        <v>6.4666208994890813</v>
      </c>
      <c r="AY315">
        <v>3.8017030395177329E-2</v>
      </c>
      <c r="AZ315">
        <v>0.31265205796993839</v>
      </c>
      <c r="BA315">
        <v>0.25170010328292847</v>
      </c>
    </row>
    <row r="316" spans="1:53">
      <c r="A316" s="1">
        <v>1315</v>
      </c>
      <c r="B316" s="1">
        <f t="shared" si="24"/>
        <v>4.5</v>
      </c>
      <c r="C316">
        <v>5</v>
      </c>
      <c r="D316">
        <v>3</v>
      </c>
      <c r="E316">
        <v>3</v>
      </c>
      <c r="F316">
        <v>1312</v>
      </c>
      <c r="G316">
        <v>131.52000427246094</v>
      </c>
      <c r="H316" s="3">
        <v>1</v>
      </c>
      <c r="I316" s="3">
        <v>6</v>
      </c>
      <c r="J316" s="3">
        <v>0</v>
      </c>
      <c r="K316" s="3">
        <f t="shared" si="25"/>
        <v>5.5</v>
      </c>
      <c r="L316" s="3">
        <f t="shared" si="29"/>
        <v>2.8754546425559302</v>
      </c>
      <c r="M316" s="3">
        <v>45</v>
      </c>
      <c r="N316" s="3">
        <f t="shared" si="26"/>
        <v>0.99956912372053131</v>
      </c>
      <c r="O316" s="3">
        <f t="shared" si="27"/>
        <v>0.88888888888888884</v>
      </c>
      <c r="P316" s="4">
        <f t="shared" si="28"/>
        <v>7.388458012609421</v>
      </c>
      <c r="AY316">
        <v>3.8017030395177329E-2</v>
      </c>
      <c r="AZ316">
        <v>0.35066908836511573</v>
      </c>
      <c r="BA316">
        <v>0.25170010328292847</v>
      </c>
    </row>
    <row r="317" spans="1:53">
      <c r="A317" s="1">
        <v>1316</v>
      </c>
      <c r="B317" s="1">
        <f t="shared" si="24"/>
        <v>1.5</v>
      </c>
      <c r="C317">
        <v>1.5</v>
      </c>
      <c r="D317">
        <v>1.5</v>
      </c>
      <c r="E317">
        <v>1</v>
      </c>
      <c r="F317">
        <v>1312</v>
      </c>
      <c r="G317">
        <v>131.52000427246094</v>
      </c>
      <c r="H317" s="3">
        <v>1</v>
      </c>
      <c r="I317" s="3">
        <v>6</v>
      </c>
      <c r="J317" s="3">
        <v>0</v>
      </c>
      <c r="K317" s="3">
        <f t="shared" si="25"/>
        <v>6</v>
      </c>
      <c r="L317" s="3">
        <f t="shared" si="29"/>
        <v>2.9550000971013848</v>
      </c>
      <c r="M317" s="3">
        <v>45</v>
      </c>
      <c r="N317" s="3">
        <f t="shared" si="26"/>
        <v>0.94119374215097118</v>
      </c>
      <c r="O317" s="3">
        <f t="shared" si="27"/>
        <v>1</v>
      </c>
      <c r="P317" s="4">
        <f t="shared" si="28"/>
        <v>7.9411937421509711</v>
      </c>
      <c r="AY317">
        <v>1.14051091185532E-2</v>
      </c>
      <c r="AZ317">
        <v>0.36207419748366892</v>
      </c>
      <c r="BA317">
        <v>0.25170010328292847</v>
      </c>
    </row>
    <row r="318" spans="1:53">
      <c r="A318" s="1">
        <v>1317</v>
      </c>
      <c r="B318" s="1">
        <f t="shared" si="24"/>
        <v>2.25</v>
      </c>
      <c r="C318">
        <v>5</v>
      </c>
      <c r="D318">
        <v>2</v>
      </c>
      <c r="E318">
        <v>1.5</v>
      </c>
      <c r="F318">
        <v>1312</v>
      </c>
      <c r="G318">
        <v>131.52000427246094</v>
      </c>
      <c r="H318" s="3">
        <v>1</v>
      </c>
      <c r="I318" s="3">
        <v>6</v>
      </c>
      <c r="J318" s="3">
        <v>0</v>
      </c>
      <c r="K318" s="3">
        <f t="shared" si="25"/>
        <v>3.25</v>
      </c>
      <c r="L318" s="3">
        <f t="shared" si="29"/>
        <v>2.8754546425559302</v>
      </c>
      <c r="M318" s="3">
        <v>45</v>
      </c>
      <c r="N318" s="3">
        <f t="shared" si="26"/>
        <v>0.97871053246742412</v>
      </c>
      <c r="O318" s="3">
        <f t="shared" si="27"/>
        <v>0.99305555555555558</v>
      </c>
      <c r="P318" s="4">
        <f t="shared" si="28"/>
        <v>5.2217660880229797</v>
      </c>
      <c r="AY318">
        <v>3.8017030395177329E-2</v>
      </c>
      <c r="AZ318">
        <v>0.40009122787884627</v>
      </c>
      <c r="BA318">
        <v>0.25170010328292847</v>
      </c>
    </row>
    <row r="319" spans="1:53">
      <c r="A319" s="1">
        <v>1318</v>
      </c>
      <c r="B319" s="1">
        <f t="shared" si="24"/>
        <v>3</v>
      </c>
      <c r="C319">
        <v>1.5</v>
      </c>
      <c r="D319">
        <v>3</v>
      </c>
      <c r="E319">
        <v>3</v>
      </c>
      <c r="F319">
        <v>1312</v>
      </c>
      <c r="G319">
        <v>131.52000427246094</v>
      </c>
      <c r="H319" s="3">
        <v>1</v>
      </c>
      <c r="I319" s="3">
        <v>6</v>
      </c>
      <c r="J319" s="3">
        <v>0</v>
      </c>
      <c r="K319" s="3">
        <f t="shared" si="25"/>
        <v>7.5</v>
      </c>
      <c r="L319" s="3">
        <f t="shared" si="29"/>
        <v>2.9550000971013848</v>
      </c>
      <c r="M319" s="3">
        <v>45</v>
      </c>
      <c r="N319" s="3">
        <f t="shared" si="26"/>
        <v>0.99994375024275317</v>
      </c>
      <c r="O319" s="3">
        <f t="shared" si="27"/>
        <v>0.88888888888888884</v>
      </c>
      <c r="P319" s="4">
        <f t="shared" si="28"/>
        <v>9.3888326391316426</v>
      </c>
      <c r="AY319">
        <v>1.14051091185532E-2</v>
      </c>
      <c r="AZ319">
        <v>0.41149633699739946</v>
      </c>
      <c r="BA319">
        <v>0.25170010328292847</v>
      </c>
    </row>
    <row r="320" spans="1:53">
      <c r="A320" s="1">
        <v>1319</v>
      </c>
      <c r="B320" s="1">
        <f t="shared" si="24"/>
        <v>3.75</v>
      </c>
      <c r="C320">
        <v>3.66</v>
      </c>
      <c r="D320">
        <v>3.6</v>
      </c>
      <c r="E320">
        <v>6</v>
      </c>
      <c r="F320">
        <v>1312</v>
      </c>
      <c r="G320">
        <v>131.52000427246094</v>
      </c>
      <c r="H320" s="3">
        <v>1</v>
      </c>
      <c r="I320" s="3">
        <v>6</v>
      </c>
      <c r="J320" s="3">
        <v>0</v>
      </c>
      <c r="K320" s="3">
        <f t="shared" si="25"/>
        <v>6.09</v>
      </c>
      <c r="L320" s="3">
        <f t="shared" si="29"/>
        <v>2.9059091880104759</v>
      </c>
      <c r="M320" s="3">
        <v>45</v>
      </c>
      <c r="N320" s="3">
        <f t="shared" si="26"/>
        <v>0.98661772068643672</v>
      </c>
      <c r="O320" s="3">
        <f t="shared" si="27"/>
        <v>0.30555555555555558</v>
      </c>
      <c r="P320" s="4">
        <f t="shared" si="28"/>
        <v>7.3821732762419918</v>
      </c>
      <c r="AY320">
        <v>2.7828466249269809E-2</v>
      </c>
      <c r="AZ320">
        <v>0.43932480324666928</v>
      </c>
      <c r="BA320">
        <v>0.25170010328292847</v>
      </c>
    </row>
    <row r="321" spans="1:53">
      <c r="A321" s="1">
        <v>1320</v>
      </c>
      <c r="B321" s="1">
        <f t="shared" si="24"/>
        <v>4.5</v>
      </c>
      <c r="C321">
        <v>4</v>
      </c>
      <c r="D321">
        <v>4.2</v>
      </c>
      <c r="E321">
        <v>5</v>
      </c>
      <c r="F321">
        <v>1312</v>
      </c>
      <c r="G321">
        <v>131.52000427246094</v>
      </c>
      <c r="H321" s="3">
        <v>1</v>
      </c>
      <c r="I321" s="3">
        <v>6</v>
      </c>
      <c r="J321" s="3">
        <v>0</v>
      </c>
      <c r="K321" s="3">
        <f t="shared" si="25"/>
        <v>6.5</v>
      </c>
      <c r="L321" s="3">
        <f t="shared" si="29"/>
        <v>2.8981819152832031</v>
      </c>
      <c r="M321" s="3">
        <v>45</v>
      </c>
      <c r="N321" s="3">
        <f t="shared" si="26"/>
        <v>0.95292415761956362</v>
      </c>
      <c r="O321" s="3">
        <f t="shared" si="27"/>
        <v>0.55555555555555558</v>
      </c>
      <c r="P321" s="4">
        <f t="shared" si="28"/>
        <v>8.0084797131751202</v>
      </c>
      <c r="AY321">
        <v>3.0413624316141866E-2</v>
      </c>
      <c r="AZ321">
        <v>0.46973842756281114</v>
      </c>
      <c r="BA321">
        <v>0.25170010328292847</v>
      </c>
    </row>
    <row r="322" spans="1:53">
      <c r="A322" s="1">
        <v>1321</v>
      </c>
      <c r="B322" s="1">
        <f t="shared" si="24"/>
        <v>1.5</v>
      </c>
      <c r="C322">
        <v>0</v>
      </c>
      <c r="D322">
        <v>1.5</v>
      </c>
      <c r="E322">
        <v>2</v>
      </c>
      <c r="F322">
        <v>1312</v>
      </c>
      <c r="G322">
        <v>131.52000427246094</v>
      </c>
      <c r="H322" s="3">
        <v>1</v>
      </c>
      <c r="I322" s="3">
        <v>6</v>
      </c>
      <c r="J322" s="3">
        <v>0</v>
      </c>
      <c r="K322" s="3">
        <f t="shared" si="25"/>
        <v>7.5</v>
      </c>
      <c r="L322" s="3">
        <f t="shared" si="29"/>
        <v>2.989091006192294</v>
      </c>
      <c r="M322" s="3">
        <v>45</v>
      </c>
      <c r="N322" s="3">
        <f t="shared" si="26"/>
        <v>0.9384057770910339</v>
      </c>
      <c r="O322" s="3">
        <f t="shared" si="27"/>
        <v>0.97222222222222221</v>
      </c>
      <c r="P322" s="4">
        <f t="shared" si="28"/>
        <v>9.410627999313256</v>
      </c>
      <c r="AY322">
        <v>0</v>
      </c>
      <c r="AZ322">
        <v>0.46973842756281114</v>
      </c>
      <c r="BA322">
        <v>0.25170010328292847</v>
      </c>
    </row>
    <row r="323" spans="1:53">
      <c r="A323" s="1">
        <v>1322</v>
      </c>
      <c r="B323" s="1">
        <f t="shared" ref="B323:B386" si="30">IF(MOD(A323,5)=0,4.5,MOD(A323,5)*0.75+0.75)</f>
        <v>2.25</v>
      </c>
      <c r="C323">
        <v>3.5</v>
      </c>
      <c r="D323">
        <v>2.5</v>
      </c>
      <c r="E323">
        <v>3.75</v>
      </c>
      <c r="F323">
        <v>1312</v>
      </c>
      <c r="G323">
        <v>131.52000427246094</v>
      </c>
      <c r="H323" s="3">
        <v>1</v>
      </c>
      <c r="I323" s="3">
        <v>6</v>
      </c>
      <c r="J323" s="3">
        <v>0</v>
      </c>
      <c r="K323" s="3">
        <f t="shared" ref="K323:K346" si="31">I323+H323*(B323-C323+J323)</f>
        <v>4.75</v>
      </c>
      <c r="L323" s="3">
        <f t="shared" si="29"/>
        <v>2.9095455516468394</v>
      </c>
      <c r="M323" s="3">
        <v>45</v>
      </c>
      <c r="N323" s="3">
        <f t="shared" ref="N323:N346" si="32">1-1/36*((D323-L323)^2)</f>
        <v>0.99534090114239682</v>
      </c>
      <c r="O323" s="3">
        <f t="shared" ref="O323:O346" si="33">1-1/36*((E323-1)^2)</f>
        <v>0.78993055555555558</v>
      </c>
      <c r="P323" s="4">
        <f t="shared" ref="P323:P346" si="34">K323+N323+O323</f>
        <v>6.5352714566979522</v>
      </c>
      <c r="AY323">
        <v>2.6611921276624134E-2</v>
      </c>
      <c r="AZ323">
        <v>0.4963503488394353</v>
      </c>
      <c r="BA323">
        <v>0.25170010328292847</v>
      </c>
    </row>
    <row r="324" spans="1:53">
      <c r="A324" s="1">
        <v>1323</v>
      </c>
      <c r="B324" s="1">
        <f t="shared" si="30"/>
        <v>3</v>
      </c>
      <c r="C324">
        <v>4.5</v>
      </c>
      <c r="D324">
        <v>2.5</v>
      </c>
      <c r="E324">
        <v>1.8</v>
      </c>
      <c r="F324">
        <v>1312</v>
      </c>
      <c r="G324">
        <v>131.52000427246094</v>
      </c>
      <c r="H324" s="3">
        <v>1</v>
      </c>
      <c r="I324" s="3">
        <v>6</v>
      </c>
      <c r="J324" s="3">
        <v>0</v>
      </c>
      <c r="K324" s="3">
        <f t="shared" si="31"/>
        <v>4.5</v>
      </c>
      <c r="L324" s="3">
        <f t="shared" si="29"/>
        <v>2.8868182789195669</v>
      </c>
      <c r="M324" s="3">
        <v>45</v>
      </c>
      <c r="N324" s="3">
        <f t="shared" si="32"/>
        <v>0.99584365608593628</v>
      </c>
      <c r="O324" s="3">
        <f t="shared" si="33"/>
        <v>0.98222222222222222</v>
      </c>
      <c r="P324" s="4">
        <f t="shared" si="34"/>
        <v>6.4780658783081586</v>
      </c>
      <c r="AY324">
        <v>3.4215327355659596E-2</v>
      </c>
      <c r="AZ324">
        <v>0.53056567619509487</v>
      </c>
      <c r="BA324">
        <v>0.25170010328292847</v>
      </c>
    </row>
    <row r="325" spans="1:53">
      <c r="A325" s="1">
        <v>1324</v>
      </c>
      <c r="B325" s="1">
        <f t="shared" si="30"/>
        <v>3.75</v>
      </c>
      <c r="C325">
        <v>3</v>
      </c>
      <c r="D325">
        <v>3</v>
      </c>
      <c r="E325">
        <v>3</v>
      </c>
      <c r="F325">
        <v>1312</v>
      </c>
      <c r="G325">
        <v>131.52000427246094</v>
      </c>
      <c r="H325" s="3">
        <v>1</v>
      </c>
      <c r="I325" s="3">
        <v>6</v>
      </c>
      <c r="J325" s="3">
        <v>0</v>
      </c>
      <c r="K325" s="3">
        <f t="shared" si="31"/>
        <v>6.75</v>
      </c>
      <c r="L325" s="3">
        <f t="shared" si="29"/>
        <v>2.9209091880104761</v>
      </c>
      <c r="M325" s="3">
        <v>45</v>
      </c>
      <c r="N325" s="3">
        <f t="shared" si="32"/>
        <v>0.99982624009607879</v>
      </c>
      <c r="O325" s="3">
        <f t="shared" si="33"/>
        <v>0.88888888888888884</v>
      </c>
      <c r="P325" s="4">
        <f t="shared" si="34"/>
        <v>8.638715128984968</v>
      </c>
      <c r="AY325">
        <v>2.2810218237106401E-2</v>
      </c>
      <c r="AZ325">
        <v>0.55337589443220125</v>
      </c>
      <c r="BA325">
        <v>0.25170010328292847</v>
      </c>
    </row>
    <row r="326" spans="1:53">
      <c r="A326" s="1">
        <v>1325</v>
      </c>
      <c r="B326" s="1">
        <f t="shared" si="30"/>
        <v>4.5</v>
      </c>
      <c r="C326">
        <v>0.5</v>
      </c>
      <c r="D326">
        <v>1.5</v>
      </c>
      <c r="E326">
        <v>3</v>
      </c>
      <c r="F326">
        <v>1312</v>
      </c>
      <c r="G326">
        <v>131.52000427246094</v>
      </c>
      <c r="H326" s="3">
        <v>1</v>
      </c>
      <c r="I326" s="3">
        <v>6</v>
      </c>
      <c r="J326" s="3">
        <v>0</v>
      </c>
      <c r="K326" s="3">
        <f t="shared" si="31"/>
        <v>10</v>
      </c>
      <c r="L326" s="3">
        <f t="shared" si="29"/>
        <v>2.9777273698286577</v>
      </c>
      <c r="M326" s="3">
        <v>45</v>
      </c>
      <c r="N326" s="3">
        <f t="shared" si="32"/>
        <v>0.9393422727905355</v>
      </c>
      <c r="O326" s="3">
        <f t="shared" si="33"/>
        <v>0.88888888888888884</v>
      </c>
      <c r="P326" s="4">
        <f t="shared" si="34"/>
        <v>11.828231161679424</v>
      </c>
      <c r="AY326">
        <v>3.8017030395177333E-3</v>
      </c>
      <c r="AZ326">
        <v>0.55717759747171902</v>
      </c>
      <c r="BA326">
        <v>0.25170010328292847</v>
      </c>
    </row>
    <row r="327" spans="1:53">
      <c r="A327" s="1">
        <v>1326</v>
      </c>
      <c r="B327" s="1">
        <f t="shared" si="30"/>
        <v>1.5</v>
      </c>
      <c r="C327">
        <v>1.5</v>
      </c>
      <c r="D327">
        <v>1.5</v>
      </c>
      <c r="E327">
        <v>1.5</v>
      </c>
      <c r="F327">
        <v>1312</v>
      </c>
      <c r="G327">
        <v>131.52000427246094</v>
      </c>
      <c r="H327" s="3">
        <v>1</v>
      </c>
      <c r="I327" s="3">
        <v>6</v>
      </c>
      <c r="J327" s="3">
        <v>0</v>
      </c>
      <c r="K327" s="3">
        <f t="shared" si="31"/>
        <v>6</v>
      </c>
      <c r="L327" s="3">
        <f t="shared" si="29"/>
        <v>2.9550000971013848</v>
      </c>
      <c r="M327" s="3">
        <v>45</v>
      </c>
      <c r="N327" s="3">
        <f t="shared" si="32"/>
        <v>0.94119374215097118</v>
      </c>
      <c r="O327" s="3">
        <f t="shared" si="33"/>
        <v>0.99305555555555558</v>
      </c>
      <c r="P327" s="4">
        <f t="shared" si="34"/>
        <v>7.9342492977065264</v>
      </c>
      <c r="AY327">
        <v>1.14051091185532E-2</v>
      </c>
      <c r="AZ327">
        <v>0.56858270659027221</v>
      </c>
      <c r="BA327">
        <v>0.25170010328292847</v>
      </c>
    </row>
    <row r="328" spans="1:53">
      <c r="A328" s="1">
        <v>1327</v>
      </c>
      <c r="B328" s="1">
        <f t="shared" si="30"/>
        <v>2.25</v>
      </c>
      <c r="C328">
        <v>4.4400000000000004</v>
      </c>
      <c r="D328">
        <v>3.5</v>
      </c>
      <c r="E328">
        <v>3</v>
      </c>
      <c r="F328">
        <v>1312</v>
      </c>
      <c r="G328">
        <v>131.52000427246094</v>
      </c>
      <c r="H328" s="3">
        <v>1</v>
      </c>
      <c r="I328" s="3">
        <v>6</v>
      </c>
      <c r="J328" s="3">
        <v>0</v>
      </c>
      <c r="K328" s="3">
        <f t="shared" si="31"/>
        <v>3.8099999999999996</v>
      </c>
      <c r="L328" s="3">
        <f t="shared" si="29"/>
        <v>2.8881819152832033</v>
      </c>
      <c r="M328" s="3">
        <v>45</v>
      </c>
      <c r="N328" s="3">
        <f t="shared" si="32"/>
        <v>0.98960218420037416</v>
      </c>
      <c r="O328" s="3">
        <f t="shared" si="33"/>
        <v>0.88888888888888884</v>
      </c>
      <c r="P328" s="4">
        <f t="shared" si="34"/>
        <v>5.6884910730892635</v>
      </c>
      <c r="AY328">
        <v>3.3759122990917476E-2</v>
      </c>
      <c r="AZ328">
        <v>0.60234182958118965</v>
      </c>
      <c r="BA328">
        <v>0.25170010328292847</v>
      </c>
    </row>
    <row r="329" spans="1:53">
      <c r="A329" s="1">
        <v>1328</v>
      </c>
      <c r="B329" s="1">
        <f t="shared" si="30"/>
        <v>3</v>
      </c>
      <c r="C329">
        <v>0</v>
      </c>
      <c r="D329">
        <v>1.5</v>
      </c>
      <c r="E329">
        <v>1</v>
      </c>
      <c r="F329">
        <v>1312</v>
      </c>
      <c r="G329">
        <v>131.52000427246094</v>
      </c>
      <c r="H329" s="3">
        <v>1</v>
      </c>
      <c r="I329" s="3">
        <v>6</v>
      </c>
      <c r="J329" s="3">
        <v>0</v>
      </c>
      <c r="K329" s="3">
        <f t="shared" si="31"/>
        <v>9</v>
      </c>
      <c r="L329" s="3">
        <f t="shared" si="29"/>
        <v>2.989091006192294</v>
      </c>
      <c r="M329" s="3">
        <v>45</v>
      </c>
      <c r="N329" s="3">
        <f t="shared" si="32"/>
        <v>0.9384057770910339</v>
      </c>
      <c r="O329" s="3">
        <f t="shared" si="33"/>
        <v>1</v>
      </c>
      <c r="P329" s="4">
        <f t="shared" si="34"/>
        <v>10.938405777091035</v>
      </c>
      <c r="AY329">
        <v>0</v>
      </c>
      <c r="AZ329">
        <v>0.60234182958118965</v>
      </c>
      <c r="BA329">
        <v>0.25170010328292847</v>
      </c>
    </row>
    <row r="330" spans="1:53">
      <c r="A330" s="1">
        <v>1329</v>
      </c>
      <c r="B330" s="1">
        <f t="shared" si="30"/>
        <v>3.75</v>
      </c>
      <c r="C330">
        <v>2</v>
      </c>
      <c r="D330">
        <v>3</v>
      </c>
      <c r="E330">
        <v>4</v>
      </c>
      <c r="F330">
        <v>1312</v>
      </c>
      <c r="G330">
        <v>131.52000427246094</v>
      </c>
      <c r="H330" s="3">
        <v>1</v>
      </c>
      <c r="I330" s="3">
        <v>6</v>
      </c>
      <c r="J330" s="3">
        <v>0</v>
      </c>
      <c r="K330" s="3">
        <f t="shared" si="31"/>
        <v>7.75</v>
      </c>
      <c r="L330" s="3">
        <f t="shared" si="29"/>
        <v>2.9436364607377485</v>
      </c>
      <c r="M330" s="3">
        <v>45</v>
      </c>
      <c r="N330" s="3">
        <f t="shared" si="32"/>
        <v>0.99991175420671752</v>
      </c>
      <c r="O330" s="3">
        <f t="shared" si="33"/>
        <v>0.75</v>
      </c>
      <c r="P330" s="4">
        <f t="shared" si="34"/>
        <v>9.4999117542067175</v>
      </c>
      <c r="AY330">
        <v>1.5206812158070933E-2</v>
      </c>
      <c r="AZ330">
        <v>0.61754864173926061</v>
      </c>
      <c r="BA330">
        <v>0.25170010328292847</v>
      </c>
    </row>
    <row r="331" spans="1:53">
      <c r="A331" s="1">
        <v>1330</v>
      </c>
      <c r="B331" s="1">
        <f t="shared" si="30"/>
        <v>4.5</v>
      </c>
      <c r="C331">
        <v>1</v>
      </c>
      <c r="D331">
        <v>1</v>
      </c>
      <c r="E331">
        <v>2</v>
      </c>
      <c r="F331">
        <v>1312</v>
      </c>
      <c r="G331">
        <v>131.52000427246094</v>
      </c>
      <c r="H331" s="3">
        <v>1</v>
      </c>
      <c r="I331" s="3">
        <v>6</v>
      </c>
      <c r="J331" s="3">
        <v>0</v>
      </c>
      <c r="K331" s="3">
        <f t="shared" si="31"/>
        <v>9.5</v>
      </c>
      <c r="L331" s="3">
        <f t="shared" si="29"/>
        <v>2.9663637334650215</v>
      </c>
      <c r="M331" s="3">
        <v>45</v>
      </c>
      <c r="N331" s="3">
        <f t="shared" si="32"/>
        <v>0.89259482410315283</v>
      </c>
      <c r="O331" s="3">
        <f t="shared" si="33"/>
        <v>0.97222222222222221</v>
      </c>
      <c r="P331" s="4">
        <f t="shared" si="34"/>
        <v>11.364817046325374</v>
      </c>
      <c r="AY331">
        <v>7.6034060790354666E-3</v>
      </c>
      <c r="AZ331">
        <v>0.62515204781829603</v>
      </c>
      <c r="BA331">
        <v>0.25170010328292847</v>
      </c>
    </row>
    <row r="332" spans="1:53">
      <c r="A332" s="1">
        <v>1331</v>
      </c>
      <c r="B332" s="1">
        <f t="shared" si="30"/>
        <v>1.5</v>
      </c>
      <c r="C332">
        <v>1.5</v>
      </c>
      <c r="D332">
        <v>2.5</v>
      </c>
      <c r="E332">
        <v>3</v>
      </c>
      <c r="F332">
        <v>1312</v>
      </c>
      <c r="G332">
        <v>131.52000427246094</v>
      </c>
      <c r="H332" s="3">
        <v>1</v>
      </c>
      <c r="I332" s="3">
        <v>6</v>
      </c>
      <c r="J332" s="3">
        <v>0</v>
      </c>
      <c r="K332" s="3">
        <f t="shared" si="31"/>
        <v>6</v>
      </c>
      <c r="L332" s="3">
        <f t="shared" si="29"/>
        <v>2.9550000971013848</v>
      </c>
      <c r="M332" s="3">
        <v>45</v>
      </c>
      <c r="N332" s="3">
        <f t="shared" si="32"/>
        <v>0.99424930310104809</v>
      </c>
      <c r="O332" s="3">
        <f t="shared" si="33"/>
        <v>0.88888888888888884</v>
      </c>
      <c r="P332" s="4">
        <f t="shared" si="34"/>
        <v>7.8831381919899375</v>
      </c>
      <c r="AY332">
        <v>1.14051091185532E-2</v>
      </c>
      <c r="AZ332">
        <v>0.63655715693684922</v>
      </c>
      <c r="BA332">
        <v>0.25170010328292847</v>
      </c>
    </row>
    <row r="333" spans="1:53">
      <c r="A333" s="1">
        <v>1332</v>
      </c>
      <c r="B333" s="1">
        <f t="shared" si="30"/>
        <v>2.25</v>
      </c>
      <c r="C333">
        <v>2.25</v>
      </c>
      <c r="D333">
        <v>3</v>
      </c>
      <c r="E333">
        <v>3</v>
      </c>
      <c r="F333">
        <v>1312</v>
      </c>
      <c r="G333">
        <v>131.52000427246094</v>
      </c>
      <c r="H333" s="3">
        <v>1</v>
      </c>
      <c r="I333" s="3">
        <v>6</v>
      </c>
      <c r="J333" s="3">
        <v>0</v>
      </c>
      <c r="K333" s="3">
        <f t="shared" si="31"/>
        <v>6</v>
      </c>
      <c r="L333" s="3">
        <f t="shared" si="29"/>
        <v>2.9379546425559302</v>
      </c>
      <c r="M333" s="3">
        <v>45</v>
      </c>
      <c r="N333" s="3">
        <f t="shared" si="32"/>
        <v>0.99989306593387883</v>
      </c>
      <c r="O333" s="3">
        <f t="shared" si="33"/>
        <v>0.88888888888888884</v>
      </c>
      <c r="P333" s="4">
        <f t="shared" si="34"/>
        <v>7.8887819548227682</v>
      </c>
      <c r="AY333">
        <v>1.7107663677829798E-2</v>
      </c>
      <c r="AZ333">
        <v>0.65366482061467901</v>
      </c>
      <c r="BA333">
        <v>0.25170010328292847</v>
      </c>
    </row>
    <row r="334" spans="1:53">
      <c r="A334" s="1">
        <v>1333</v>
      </c>
      <c r="B334" s="1">
        <f t="shared" si="30"/>
        <v>3</v>
      </c>
      <c r="C334">
        <v>6</v>
      </c>
      <c r="D334">
        <v>3</v>
      </c>
      <c r="E334">
        <v>6</v>
      </c>
      <c r="F334">
        <v>1312</v>
      </c>
      <c r="G334">
        <v>131.52000427246094</v>
      </c>
      <c r="H334" s="3">
        <v>1</v>
      </c>
      <c r="I334" s="3">
        <v>6</v>
      </c>
      <c r="J334" s="3">
        <v>0</v>
      </c>
      <c r="K334" s="3">
        <f t="shared" si="31"/>
        <v>3</v>
      </c>
      <c r="L334" s="3">
        <f t="shared" si="29"/>
        <v>2.8527273698286577</v>
      </c>
      <c r="M334" s="3">
        <v>45</v>
      </c>
      <c r="N334" s="3">
        <f t="shared" si="32"/>
        <v>0.99939752145562266</v>
      </c>
      <c r="O334" s="3">
        <f t="shared" si="33"/>
        <v>0.30555555555555558</v>
      </c>
      <c r="P334" s="4">
        <f t="shared" si="34"/>
        <v>4.3049530770111781</v>
      </c>
      <c r="AY334">
        <v>4.5620436474212801E-2</v>
      </c>
      <c r="AZ334">
        <v>0.69928525708889178</v>
      </c>
      <c r="BA334">
        <v>0.25170010328292847</v>
      </c>
    </row>
    <row r="335" spans="1:53">
      <c r="A335" s="1">
        <v>1334</v>
      </c>
      <c r="B335" s="1">
        <f t="shared" si="30"/>
        <v>3.75</v>
      </c>
      <c r="C335">
        <v>3.75</v>
      </c>
      <c r="D335">
        <v>3</v>
      </c>
      <c r="E335">
        <v>2.5</v>
      </c>
      <c r="F335">
        <v>1312</v>
      </c>
      <c r="G335">
        <v>131.52000427246094</v>
      </c>
      <c r="H335" s="3">
        <v>1</v>
      </c>
      <c r="I335" s="3">
        <v>6</v>
      </c>
      <c r="J335" s="3">
        <v>0</v>
      </c>
      <c r="K335" s="3">
        <f t="shared" si="31"/>
        <v>6</v>
      </c>
      <c r="L335" s="3">
        <f t="shared" si="29"/>
        <v>2.9038637334650215</v>
      </c>
      <c r="M335" s="3">
        <v>45</v>
      </c>
      <c r="N335" s="3">
        <f t="shared" si="32"/>
        <v>0.99974327272935326</v>
      </c>
      <c r="O335" s="3">
        <f t="shared" si="33"/>
        <v>0.9375</v>
      </c>
      <c r="P335" s="4">
        <f t="shared" si="34"/>
        <v>7.9372432727293534</v>
      </c>
      <c r="AY335">
        <v>2.8512772796383E-2</v>
      </c>
      <c r="AZ335">
        <v>0.72779802988527476</v>
      </c>
      <c r="BA335">
        <v>0.25170010328292847</v>
      </c>
    </row>
    <row r="336" spans="1:53">
      <c r="A336" s="1">
        <v>1335</v>
      </c>
      <c r="B336" s="1">
        <f t="shared" si="30"/>
        <v>4.5</v>
      </c>
      <c r="C336">
        <v>4.5</v>
      </c>
      <c r="D336">
        <v>3</v>
      </c>
      <c r="E336">
        <v>2.5</v>
      </c>
      <c r="F336">
        <v>1312</v>
      </c>
      <c r="G336">
        <v>131.52000427246094</v>
      </c>
      <c r="H336" s="3">
        <v>1</v>
      </c>
      <c r="I336" s="3">
        <v>6</v>
      </c>
      <c r="J336" s="3">
        <v>0</v>
      </c>
      <c r="K336" s="3">
        <f t="shared" si="31"/>
        <v>6</v>
      </c>
      <c r="L336" s="3">
        <f t="shared" si="29"/>
        <v>2.8868182789195669</v>
      </c>
      <c r="M336" s="3">
        <v>45</v>
      </c>
      <c r="N336" s="3">
        <f t="shared" si="32"/>
        <v>0.99964416383370203</v>
      </c>
      <c r="O336" s="3">
        <f t="shared" si="33"/>
        <v>0.9375</v>
      </c>
      <c r="P336" s="4">
        <f t="shared" si="34"/>
        <v>7.9371441638337021</v>
      </c>
      <c r="AY336">
        <v>3.4215327355659596E-2</v>
      </c>
      <c r="AZ336">
        <v>0.76201335724093433</v>
      </c>
      <c r="BA336">
        <v>0.25170010328292847</v>
      </c>
    </row>
    <row r="337" spans="1:53">
      <c r="A337" s="1">
        <v>1336</v>
      </c>
      <c r="B337" s="1">
        <f t="shared" si="30"/>
        <v>1.5</v>
      </c>
      <c r="C337">
        <v>1.5</v>
      </c>
      <c r="D337">
        <v>3</v>
      </c>
      <c r="E337">
        <v>6</v>
      </c>
      <c r="F337">
        <v>1312</v>
      </c>
      <c r="G337">
        <v>131.52000427246094</v>
      </c>
      <c r="H337" s="3">
        <v>1</v>
      </c>
      <c r="I337" s="3">
        <v>6</v>
      </c>
      <c r="J337" s="3">
        <v>0</v>
      </c>
      <c r="K337" s="3">
        <f t="shared" si="31"/>
        <v>6</v>
      </c>
      <c r="L337" s="3">
        <f t="shared" si="29"/>
        <v>2.9550000971013848</v>
      </c>
      <c r="M337" s="3">
        <v>45</v>
      </c>
      <c r="N337" s="3">
        <f t="shared" si="32"/>
        <v>0.99994375024275317</v>
      </c>
      <c r="O337" s="3">
        <f t="shared" si="33"/>
        <v>0.30555555555555558</v>
      </c>
      <c r="P337" s="4">
        <f t="shared" si="34"/>
        <v>7.3054993057983086</v>
      </c>
      <c r="AY337">
        <v>1.14051091185532E-2</v>
      </c>
      <c r="AZ337">
        <v>0.77341846635948752</v>
      </c>
      <c r="BA337">
        <v>0.25170010328292847</v>
      </c>
    </row>
    <row r="338" spans="1:53">
      <c r="A338" s="1">
        <v>1337</v>
      </c>
      <c r="B338" s="1">
        <f t="shared" si="30"/>
        <v>2.25</v>
      </c>
      <c r="C338">
        <v>3</v>
      </c>
      <c r="D338">
        <v>2.5</v>
      </c>
      <c r="E338">
        <v>3</v>
      </c>
      <c r="F338">
        <v>1312</v>
      </c>
      <c r="G338">
        <v>131.52000427246094</v>
      </c>
      <c r="H338" s="3">
        <v>1</v>
      </c>
      <c r="I338" s="3">
        <v>6</v>
      </c>
      <c r="J338" s="3">
        <v>0</v>
      </c>
      <c r="K338" s="3">
        <f t="shared" si="31"/>
        <v>5.25</v>
      </c>
      <c r="L338" s="3">
        <f t="shared" si="29"/>
        <v>2.9209091880104761</v>
      </c>
      <c r="M338" s="3">
        <v>45</v>
      </c>
      <c r="N338" s="3">
        <f t="shared" si="32"/>
        <v>0.99507876265134343</v>
      </c>
      <c r="O338" s="3">
        <f t="shared" si="33"/>
        <v>0.88888888888888884</v>
      </c>
      <c r="P338" s="4">
        <f t="shared" si="34"/>
        <v>7.1339676515402317</v>
      </c>
      <c r="AY338">
        <v>2.2810218237106401E-2</v>
      </c>
      <c r="AZ338">
        <v>0.79622868459659391</v>
      </c>
      <c r="BA338">
        <v>0.25170010328292847</v>
      </c>
    </row>
    <row r="339" spans="1:53">
      <c r="A339" s="1">
        <v>1338</v>
      </c>
      <c r="B339" s="1">
        <f t="shared" si="30"/>
        <v>3</v>
      </c>
      <c r="C339">
        <v>2</v>
      </c>
      <c r="D339">
        <v>3</v>
      </c>
      <c r="E339">
        <v>4</v>
      </c>
      <c r="F339">
        <v>1312</v>
      </c>
      <c r="G339">
        <v>131.52000427246094</v>
      </c>
      <c r="H339" s="3">
        <v>1</v>
      </c>
      <c r="I339" s="3">
        <v>6</v>
      </c>
      <c r="J339" s="3">
        <v>0</v>
      </c>
      <c r="K339" s="3">
        <f t="shared" si="31"/>
        <v>7</v>
      </c>
      <c r="L339" s="3">
        <f t="shared" si="29"/>
        <v>2.9436364607377485</v>
      </c>
      <c r="M339" s="3">
        <v>45</v>
      </c>
      <c r="N339" s="3">
        <f t="shared" si="32"/>
        <v>0.99991175420671752</v>
      </c>
      <c r="O339" s="3">
        <f t="shared" si="33"/>
        <v>0.75</v>
      </c>
      <c r="P339" s="4">
        <f t="shared" si="34"/>
        <v>8.7499117542067175</v>
      </c>
      <c r="AY339">
        <v>1.5206812158070933E-2</v>
      </c>
      <c r="AZ339">
        <v>0.81143549675466486</v>
      </c>
      <c r="BA339">
        <v>0.25170010328292847</v>
      </c>
    </row>
    <row r="340" spans="1:53">
      <c r="A340" s="1">
        <v>1339</v>
      </c>
      <c r="B340" s="1">
        <f t="shared" si="30"/>
        <v>3.75</v>
      </c>
      <c r="C340">
        <v>3.8</v>
      </c>
      <c r="D340">
        <v>4</v>
      </c>
      <c r="E340">
        <v>4</v>
      </c>
      <c r="F340">
        <v>1312</v>
      </c>
      <c r="G340">
        <v>131.52000427246094</v>
      </c>
      <c r="H340" s="3">
        <v>1</v>
      </c>
      <c r="I340" s="3">
        <v>6</v>
      </c>
      <c r="J340" s="3">
        <v>0</v>
      </c>
      <c r="K340" s="3">
        <f t="shared" si="31"/>
        <v>5.95</v>
      </c>
      <c r="L340" s="3">
        <f t="shared" si="29"/>
        <v>2.9027273698286575</v>
      </c>
      <c r="M340" s="3">
        <v>45</v>
      </c>
      <c r="N340" s="3">
        <f t="shared" si="32"/>
        <v>0.96655535486324617</v>
      </c>
      <c r="O340" s="3">
        <f t="shared" si="33"/>
        <v>0.75</v>
      </c>
      <c r="P340" s="4">
        <f t="shared" si="34"/>
        <v>7.6665553548632461</v>
      </c>
      <c r="AY340">
        <v>2.8892943100334773E-2</v>
      </c>
      <c r="AZ340">
        <v>0.84032843985499961</v>
      </c>
      <c r="BA340">
        <v>0.25170010328292847</v>
      </c>
    </row>
    <row r="341" spans="1:53">
      <c r="A341" s="1">
        <v>1340</v>
      </c>
      <c r="B341" s="1">
        <f t="shared" si="30"/>
        <v>4.5</v>
      </c>
      <c r="C341">
        <v>6</v>
      </c>
      <c r="D341">
        <v>4</v>
      </c>
      <c r="E341">
        <v>3.5</v>
      </c>
      <c r="F341">
        <v>1312</v>
      </c>
      <c r="G341">
        <v>131.52000427246094</v>
      </c>
      <c r="H341" s="3">
        <v>1</v>
      </c>
      <c r="I341" s="3">
        <v>6</v>
      </c>
      <c r="J341" s="3">
        <v>0</v>
      </c>
      <c r="K341" s="3">
        <f t="shared" si="31"/>
        <v>4.5</v>
      </c>
      <c r="L341" s="3">
        <f t="shared" si="29"/>
        <v>2.8527273698286577</v>
      </c>
      <c r="M341" s="3">
        <v>45</v>
      </c>
      <c r="N341" s="3">
        <f t="shared" si="32"/>
        <v>0.96343793089054808</v>
      </c>
      <c r="O341" s="3">
        <f t="shared" si="33"/>
        <v>0.82638888888888884</v>
      </c>
      <c r="P341" s="4">
        <f t="shared" si="34"/>
        <v>6.2898268197794369</v>
      </c>
      <c r="AY341">
        <v>4.5620436474212801E-2</v>
      </c>
      <c r="AZ341">
        <v>0.88594887632921238</v>
      </c>
      <c r="BA341">
        <v>0.25170010328292847</v>
      </c>
    </row>
    <row r="342" spans="1:53">
      <c r="A342" s="1">
        <v>1341</v>
      </c>
      <c r="B342" s="1">
        <f t="shared" si="30"/>
        <v>1.5</v>
      </c>
      <c r="C342">
        <v>4</v>
      </c>
      <c r="D342">
        <v>4</v>
      </c>
      <c r="E342">
        <v>3</v>
      </c>
      <c r="F342">
        <v>1312</v>
      </c>
      <c r="G342">
        <v>131.52000427246094</v>
      </c>
      <c r="H342" s="3">
        <v>1</v>
      </c>
      <c r="I342" s="3">
        <v>6</v>
      </c>
      <c r="J342" s="3">
        <v>0</v>
      </c>
      <c r="K342" s="3">
        <f t="shared" si="31"/>
        <v>3.5</v>
      </c>
      <c r="L342" s="3">
        <f t="shared" si="29"/>
        <v>2.8981819152832031</v>
      </c>
      <c r="M342" s="3">
        <v>45</v>
      </c>
      <c r="N342" s="3">
        <f t="shared" si="32"/>
        <v>0.96627769189419466</v>
      </c>
      <c r="O342" s="3">
        <f t="shared" si="33"/>
        <v>0.88888888888888884</v>
      </c>
      <c r="P342" s="4">
        <f t="shared" si="34"/>
        <v>5.3551665807830844</v>
      </c>
      <c r="AY342">
        <v>3.0413624316141866E-2</v>
      </c>
      <c r="AZ342">
        <v>0.91636250064535429</v>
      </c>
      <c r="BA342">
        <v>0.25170010328292847</v>
      </c>
    </row>
    <row r="343" spans="1:53">
      <c r="A343" s="1">
        <v>1342</v>
      </c>
      <c r="B343" s="1">
        <f t="shared" si="30"/>
        <v>2.25</v>
      </c>
      <c r="C343">
        <v>3</v>
      </c>
      <c r="D343">
        <v>4</v>
      </c>
      <c r="E343">
        <v>3</v>
      </c>
      <c r="F343">
        <v>1312</v>
      </c>
      <c r="G343">
        <v>131.52000427246094</v>
      </c>
      <c r="H343" s="3">
        <v>1</v>
      </c>
      <c r="I343" s="3">
        <v>6</v>
      </c>
      <c r="J343" s="3">
        <v>0</v>
      </c>
      <c r="K343" s="3">
        <f t="shared" si="31"/>
        <v>5.25</v>
      </c>
      <c r="L343" s="3">
        <f t="shared" si="29"/>
        <v>2.9209091880104761</v>
      </c>
      <c r="M343" s="3">
        <v>45</v>
      </c>
      <c r="N343" s="3">
        <f t="shared" si="32"/>
        <v>0.9676545283188831</v>
      </c>
      <c r="O343" s="3">
        <f t="shared" si="33"/>
        <v>0.88888888888888884</v>
      </c>
      <c r="P343" s="4">
        <f t="shared" si="34"/>
        <v>7.1065434172077726</v>
      </c>
      <c r="AY343">
        <v>2.2810218237106401E-2</v>
      </c>
      <c r="AZ343">
        <v>0.93917271888246068</v>
      </c>
      <c r="BA343">
        <v>0.25170010328292847</v>
      </c>
    </row>
    <row r="344" spans="1:53">
      <c r="A344" s="1">
        <v>1343</v>
      </c>
      <c r="B344" s="1">
        <f t="shared" si="30"/>
        <v>3</v>
      </c>
      <c r="C344">
        <v>2</v>
      </c>
      <c r="D344">
        <v>3</v>
      </c>
      <c r="E344">
        <v>4</v>
      </c>
      <c r="F344">
        <v>1312</v>
      </c>
      <c r="G344">
        <v>131.52000427246094</v>
      </c>
      <c r="H344" s="3">
        <v>1</v>
      </c>
      <c r="I344" s="3">
        <v>6</v>
      </c>
      <c r="J344" s="3">
        <v>0</v>
      </c>
      <c r="K344" s="3">
        <f t="shared" si="31"/>
        <v>7</v>
      </c>
      <c r="L344" s="3">
        <f t="shared" si="29"/>
        <v>2.9436364607377485</v>
      </c>
      <c r="M344" s="3">
        <v>45</v>
      </c>
      <c r="N344" s="3">
        <f t="shared" si="32"/>
        <v>0.99991175420671752</v>
      </c>
      <c r="O344" s="3">
        <f t="shared" si="33"/>
        <v>0.75</v>
      </c>
      <c r="P344" s="4">
        <f t="shared" si="34"/>
        <v>8.7499117542067175</v>
      </c>
      <c r="AY344">
        <v>1.5206812158070933E-2</v>
      </c>
      <c r="AZ344">
        <v>0.95437953104053164</v>
      </c>
      <c r="BA344">
        <v>0.25170010328292847</v>
      </c>
    </row>
    <row r="345" spans="1:53">
      <c r="A345" s="1">
        <v>1344</v>
      </c>
      <c r="B345" s="1">
        <f t="shared" si="30"/>
        <v>3.75</v>
      </c>
      <c r="C345">
        <v>3.5</v>
      </c>
      <c r="D345">
        <v>4</v>
      </c>
      <c r="E345">
        <v>4</v>
      </c>
      <c r="F345">
        <v>1312</v>
      </c>
      <c r="G345">
        <v>131.52000427246094</v>
      </c>
      <c r="H345" s="3">
        <v>1</v>
      </c>
      <c r="I345" s="3">
        <v>6</v>
      </c>
      <c r="J345" s="3">
        <v>0</v>
      </c>
      <c r="K345" s="3">
        <f t="shared" si="31"/>
        <v>6.25</v>
      </c>
      <c r="L345" s="3">
        <f t="shared" si="29"/>
        <v>2.9095455516468394</v>
      </c>
      <c r="M345" s="3">
        <v>45</v>
      </c>
      <c r="N345" s="3">
        <f t="shared" si="32"/>
        <v>0.96696969711296676</v>
      </c>
      <c r="O345" s="3">
        <f t="shared" si="33"/>
        <v>0.75</v>
      </c>
      <c r="P345" s="4">
        <f t="shared" si="34"/>
        <v>7.9669696971129671</v>
      </c>
      <c r="AY345">
        <v>2.6611921276624134E-2</v>
      </c>
      <c r="AZ345">
        <v>0.98099145231715579</v>
      </c>
      <c r="BA345">
        <v>0.25170010328292847</v>
      </c>
    </row>
    <row r="346" spans="1:53">
      <c r="A346" s="1">
        <v>1345</v>
      </c>
      <c r="B346" s="1">
        <f t="shared" si="30"/>
        <v>4.5</v>
      </c>
      <c r="C346">
        <v>2.5</v>
      </c>
      <c r="D346">
        <v>3.25</v>
      </c>
      <c r="E346">
        <v>2.75</v>
      </c>
      <c r="F346">
        <v>1312</v>
      </c>
      <c r="G346">
        <v>131.52000427246094</v>
      </c>
      <c r="H346" s="3">
        <v>1</v>
      </c>
      <c r="I346" s="3">
        <v>6</v>
      </c>
      <c r="J346" s="3">
        <v>0</v>
      </c>
      <c r="K346" s="3">
        <f t="shared" si="31"/>
        <v>8</v>
      </c>
      <c r="L346" s="3">
        <f t="shared" si="29"/>
        <v>2.9322728243741123</v>
      </c>
      <c r="M346" s="3">
        <v>45</v>
      </c>
      <c r="N346" s="3">
        <f t="shared" si="32"/>
        <v>0.9971958178296888</v>
      </c>
      <c r="O346" s="3">
        <f t="shared" si="33"/>
        <v>0.91493055555555558</v>
      </c>
      <c r="P346" s="4">
        <f t="shared" si="34"/>
        <v>9.9121263733852434</v>
      </c>
      <c r="AY346">
        <v>1.9008515197588664E-2</v>
      </c>
      <c r="AZ346">
        <v>0.9999999675147444</v>
      </c>
      <c r="BA346">
        <v>0.25170010328292847</v>
      </c>
    </row>
    <row r="347" spans="1:53">
      <c r="A347" s="1">
        <v>1346</v>
      </c>
      <c r="B347" s="1">
        <f t="shared" si="30"/>
        <v>1.5</v>
      </c>
      <c r="J347" s="3"/>
      <c r="K347" s="3"/>
      <c r="L347" s="3"/>
      <c r="N347" s="3"/>
      <c r="O347" s="3"/>
    </row>
    <row r="348" spans="1:53">
      <c r="A348" s="1">
        <v>1347</v>
      </c>
      <c r="B348" s="1">
        <f t="shared" si="30"/>
        <v>2.25</v>
      </c>
      <c r="J348" s="3"/>
      <c r="K348" s="3"/>
      <c r="L348" s="3"/>
      <c r="N348" s="3"/>
      <c r="O348" s="3"/>
    </row>
    <row r="349" spans="1:53">
      <c r="A349" s="1">
        <v>1348</v>
      </c>
      <c r="B349" s="1">
        <f t="shared" si="30"/>
        <v>3</v>
      </c>
      <c r="J349" s="3"/>
      <c r="K349" s="3"/>
      <c r="L349" s="3"/>
      <c r="N349" s="3"/>
      <c r="O349" s="3"/>
    </row>
    <row r="350" spans="1:53">
      <c r="A350" s="1">
        <v>1349</v>
      </c>
      <c r="B350" s="1">
        <f t="shared" si="30"/>
        <v>3.75</v>
      </c>
      <c r="J350" s="3"/>
      <c r="K350" s="3"/>
      <c r="L350" s="3"/>
      <c r="N350" s="3"/>
      <c r="O350" s="3"/>
    </row>
    <row r="351" spans="1:53">
      <c r="A351" s="1">
        <v>1350</v>
      </c>
      <c r="B351" s="1">
        <f t="shared" si="30"/>
        <v>4.5</v>
      </c>
      <c r="J351" s="3"/>
      <c r="K351" s="3"/>
      <c r="L351" s="3"/>
      <c r="N351" s="3"/>
      <c r="O351" s="3"/>
    </row>
    <row r="352" spans="1:53">
      <c r="A352" s="1">
        <v>1351</v>
      </c>
      <c r="B352" s="1">
        <f t="shared" si="30"/>
        <v>1.5</v>
      </c>
      <c r="J352" s="3"/>
      <c r="K352" s="3"/>
      <c r="L352" s="3"/>
      <c r="N352" s="3"/>
      <c r="O352" s="3"/>
    </row>
    <row r="353" spans="1:15">
      <c r="A353" s="1">
        <v>1352</v>
      </c>
      <c r="B353" s="1">
        <f t="shared" si="30"/>
        <v>2.25</v>
      </c>
      <c r="J353" s="3"/>
      <c r="K353" s="3"/>
      <c r="L353" s="3"/>
      <c r="N353" s="3"/>
      <c r="O353" s="3"/>
    </row>
    <row r="354" spans="1:15">
      <c r="A354" s="1">
        <v>1353</v>
      </c>
      <c r="B354" s="1">
        <f t="shared" si="30"/>
        <v>3</v>
      </c>
      <c r="J354" s="3"/>
      <c r="K354" s="3"/>
      <c r="L354" s="3"/>
      <c r="N354" s="3"/>
      <c r="O354" s="3"/>
    </row>
    <row r="355" spans="1:15">
      <c r="A355" s="1">
        <v>1354</v>
      </c>
      <c r="B355" s="1">
        <f t="shared" si="30"/>
        <v>3.75</v>
      </c>
      <c r="J355" s="3"/>
      <c r="K355" s="3"/>
      <c r="L355" s="3"/>
      <c r="N355" s="3"/>
      <c r="O355" s="3"/>
    </row>
    <row r="356" spans="1:15">
      <c r="A356" s="1">
        <v>1355</v>
      </c>
      <c r="B356" s="1">
        <f t="shared" si="30"/>
        <v>4.5</v>
      </c>
      <c r="J356" s="3"/>
      <c r="K356" s="3"/>
      <c r="L356" s="3"/>
      <c r="N356" s="3"/>
      <c r="O356" s="3"/>
    </row>
    <row r="357" spans="1:15">
      <c r="A357" s="1">
        <v>1356</v>
      </c>
      <c r="B357" s="1">
        <f t="shared" si="30"/>
        <v>1.5</v>
      </c>
      <c r="J357" s="3"/>
      <c r="K357" s="3"/>
      <c r="L357" s="3"/>
      <c r="N357" s="3"/>
      <c r="O357" s="3"/>
    </row>
    <row r="358" spans="1:15">
      <c r="A358" s="1">
        <v>1357</v>
      </c>
      <c r="B358" s="1">
        <f t="shared" si="30"/>
        <v>2.25</v>
      </c>
      <c r="J358" s="3"/>
      <c r="K358" s="3"/>
      <c r="L358" s="3"/>
      <c r="N358" s="3"/>
      <c r="O358" s="3"/>
    </row>
    <row r="359" spans="1:15">
      <c r="A359" s="1">
        <v>1358</v>
      </c>
      <c r="B359" s="1">
        <f t="shared" si="30"/>
        <v>3</v>
      </c>
      <c r="J359" s="3"/>
      <c r="K359" s="3"/>
      <c r="L359" s="3"/>
      <c r="N359" s="3"/>
      <c r="O359" s="3"/>
    </row>
    <row r="360" spans="1:15">
      <c r="A360" s="1">
        <v>1359</v>
      </c>
      <c r="B360" s="1">
        <f t="shared" si="30"/>
        <v>3.75</v>
      </c>
      <c r="J360" s="3"/>
      <c r="K360" s="3"/>
      <c r="L360" s="3"/>
      <c r="N360" s="3"/>
      <c r="O360" s="3"/>
    </row>
    <row r="361" spans="1:15">
      <c r="A361" s="1">
        <v>1360</v>
      </c>
      <c r="B361" s="1">
        <f t="shared" si="30"/>
        <v>4.5</v>
      </c>
      <c r="J361" s="3"/>
      <c r="K361" s="3"/>
      <c r="L361" s="3"/>
      <c r="N361" s="3"/>
      <c r="O361" s="3"/>
    </row>
    <row r="362" spans="1:15">
      <c r="A362" s="1">
        <v>1361</v>
      </c>
      <c r="B362" s="1">
        <f t="shared" si="30"/>
        <v>1.5</v>
      </c>
      <c r="J362" s="3"/>
      <c r="K362" s="3"/>
      <c r="L362" s="3"/>
      <c r="N362" s="3"/>
      <c r="O362" s="3"/>
    </row>
    <row r="363" spans="1:15">
      <c r="A363" s="1">
        <v>1362</v>
      </c>
      <c r="B363" s="1">
        <f t="shared" si="30"/>
        <v>2.25</v>
      </c>
      <c r="J363" s="3"/>
      <c r="K363" s="3"/>
      <c r="L363" s="3"/>
      <c r="N363" s="3"/>
      <c r="O363" s="3"/>
    </row>
    <row r="364" spans="1:15">
      <c r="A364" s="1">
        <v>1363</v>
      </c>
      <c r="B364" s="1">
        <f t="shared" si="30"/>
        <v>3</v>
      </c>
      <c r="J364" s="3"/>
      <c r="K364" s="3"/>
      <c r="L364" s="3"/>
      <c r="N364" s="3"/>
      <c r="O364" s="3"/>
    </row>
    <row r="365" spans="1:15">
      <c r="A365" s="1">
        <v>1364</v>
      </c>
      <c r="B365" s="1">
        <f t="shared" si="30"/>
        <v>3.75</v>
      </c>
      <c r="J365" s="3"/>
      <c r="K365" s="3"/>
      <c r="L365" s="3"/>
      <c r="N365" s="3"/>
      <c r="O365" s="3"/>
    </row>
    <row r="366" spans="1:15">
      <c r="A366" s="1">
        <v>1365</v>
      </c>
      <c r="B366" s="1">
        <f t="shared" si="30"/>
        <v>4.5</v>
      </c>
      <c r="J366" s="3"/>
      <c r="K366" s="3"/>
      <c r="L366" s="3"/>
      <c r="N366" s="3"/>
      <c r="O366" s="3"/>
    </row>
    <row r="367" spans="1:15">
      <c r="A367" s="1">
        <v>1366</v>
      </c>
      <c r="B367" s="1">
        <f t="shared" si="30"/>
        <v>1.5</v>
      </c>
      <c r="J367" s="3"/>
      <c r="K367" s="3"/>
      <c r="L367" s="3"/>
      <c r="N367" s="3"/>
      <c r="O367" s="3"/>
    </row>
    <row r="368" spans="1:15">
      <c r="A368" s="1">
        <v>1367</v>
      </c>
      <c r="B368" s="1">
        <f t="shared" si="30"/>
        <v>2.25</v>
      </c>
      <c r="J368" s="3"/>
      <c r="K368" s="3"/>
      <c r="L368" s="3"/>
      <c r="N368" s="3"/>
      <c r="O368" s="3"/>
    </row>
    <row r="369" spans="1:15">
      <c r="A369" s="1">
        <v>1368</v>
      </c>
      <c r="B369" s="1">
        <f t="shared" si="30"/>
        <v>3</v>
      </c>
      <c r="J369" s="3"/>
      <c r="K369" s="3"/>
      <c r="L369" s="3"/>
      <c r="N369" s="3"/>
      <c r="O369" s="3"/>
    </row>
    <row r="370" spans="1:15">
      <c r="A370" s="1">
        <v>1369</v>
      </c>
      <c r="B370" s="1">
        <f t="shared" si="30"/>
        <v>3.75</v>
      </c>
      <c r="J370" s="3"/>
      <c r="K370" s="3"/>
      <c r="L370" s="3"/>
      <c r="N370" s="3"/>
      <c r="O370" s="3"/>
    </row>
    <row r="371" spans="1:15">
      <c r="A371" s="1">
        <v>1370</v>
      </c>
      <c r="B371" s="1">
        <f t="shared" si="30"/>
        <v>4.5</v>
      </c>
      <c r="J371" s="3"/>
      <c r="K371" s="3"/>
      <c r="L371" s="3"/>
      <c r="N371" s="3"/>
      <c r="O371" s="3"/>
    </row>
    <row r="372" spans="1:15">
      <c r="A372" s="1">
        <v>1371</v>
      </c>
      <c r="B372" s="1">
        <f t="shared" si="30"/>
        <v>1.5</v>
      </c>
      <c r="J372" s="3"/>
      <c r="K372" s="3"/>
      <c r="L372" s="3"/>
      <c r="N372" s="3"/>
      <c r="O372" s="3"/>
    </row>
    <row r="373" spans="1:15">
      <c r="A373" s="1">
        <v>1372</v>
      </c>
      <c r="B373" s="1">
        <f t="shared" si="30"/>
        <v>2.25</v>
      </c>
      <c r="J373" s="3"/>
      <c r="K373" s="3"/>
      <c r="L373" s="3"/>
      <c r="N373" s="3"/>
      <c r="O373" s="3"/>
    </row>
    <row r="374" spans="1:15">
      <c r="A374" s="1">
        <v>1373</v>
      </c>
      <c r="B374" s="1">
        <f t="shared" si="30"/>
        <v>3</v>
      </c>
      <c r="J374" s="3"/>
      <c r="K374" s="3"/>
      <c r="L374" s="3"/>
      <c r="N374" s="3"/>
      <c r="O374" s="3"/>
    </row>
    <row r="375" spans="1:15">
      <c r="A375" s="1">
        <v>1374</v>
      </c>
      <c r="B375" s="1">
        <f t="shared" si="30"/>
        <v>3.75</v>
      </c>
      <c r="J375" s="3"/>
      <c r="K375" s="3"/>
      <c r="L375" s="3"/>
      <c r="N375" s="3"/>
      <c r="O375" s="3"/>
    </row>
    <row r="376" spans="1:15">
      <c r="A376" s="1">
        <v>1375</v>
      </c>
      <c r="B376" s="1">
        <f t="shared" si="30"/>
        <v>4.5</v>
      </c>
      <c r="J376" s="3"/>
      <c r="K376" s="3"/>
      <c r="L376" s="3"/>
      <c r="N376" s="3"/>
      <c r="O376" s="3"/>
    </row>
    <row r="377" spans="1:15">
      <c r="A377" s="1">
        <v>1376</v>
      </c>
      <c r="B377" s="1">
        <f t="shared" si="30"/>
        <v>1.5</v>
      </c>
      <c r="J377" s="3"/>
      <c r="K377" s="3"/>
      <c r="L377" s="3"/>
      <c r="N377" s="3"/>
      <c r="O377" s="3"/>
    </row>
    <row r="378" spans="1:15">
      <c r="A378" s="1">
        <v>1377</v>
      </c>
      <c r="B378" s="1">
        <f t="shared" si="30"/>
        <v>2.25</v>
      </c>
      <c r="J378" s="3"/>
      <c r="K378" s="3"/>
      <c r="L378" s="3"/>
      <c r="N378" s="3"/>
      <c r="O378" s="3"/>
    </row>
    <row r="379" spans="1:15">
      <c r="A379" s="1">
        <v>1378</v>
      </c>
      <c r="B379" s="1">
        <f t="shared" si="30"/>
        <v>3</v>
      </c>
      <c r="J379" s="3"/>
      <c r="K379" s="3"/>
      <c r="L379" s="3"/>
      <c r="N379" s="3"/>
      <c r="O379" s="3"/>
    </row>
    <row r="380" spans="1:15">
      <c r="A380" s="1">
        <v>1379</v>
      </c>
      <c r="B380" s="1">
        <f t="shared" si="30"/>
        <v>3.75</v>
      </c>
      <c r="J380" s="3"/>
      <c r="K380" s="3"/>
      <c r="L380" s="3"/>
      <c r="N380" s="3"/>
      <c r="O380" s="3"/>
    </row>
    <row r="381" spans="1:15">
      <c r="A381" s="1">
        <v>1380</v>
      </c>
      <c r="B381" s="1">
        <f t="shared" si="30"/>
        <v>4.5</v>
      </c>
      <c r="J381" s="3"/>
      <c r="K381" s="3"/>
      <c r="L381" s="3"/>
      <c r="N381" s="3"/>
      <c r="O381" s="3"/>
    </row>
    <row r="382" spans="1:15">
      <c r="A382" s="1">
        <v>1381</v>
      </c>
      <c r="B382" s="1">
        <f t="shared" si="30"/>
        <v>1.5</v>
      </c>
      <c r="J382" s="3"/>
      <c r="K382" s="3"/>
      <c r="L382" s="3"/>
      <c r="N382" s="3"/>
      <c r="O382" s="3"/>
    </row>
    <row r="383" spans="1:15">
      <c r="A383" s="1">
        <v>1382</v>
      </c>
      <c r="B383" s="1">
        <f t="shared" si="30"/>
        <v>2.25</v>
      </c>
      <c r="J383" s="3"/>
      <c r="K383" s="3"/>
      <c r="L383" s="3"/>
      <c r="N383" s="3"/>
      <c r="O383" s="3"/>
    </row>
    <row r="384" spans="1:15">
      <c r="A384" s="1">
        <v>1383</v>
      </c>
      <c r="B384" s="1">
        <f t="shared" si="30"/>
        <v>3</v>
      </c>
      <c r="J384" s="3"/>
      <c r="K384" s="3"/>
      <c r="L384" s="3"/>
      <c r="N384" s="3"/>
      <c r="O384" s="3"/>
    </row>
    <row r="385" spans="1:53">
      <c r="A385" s="1">
        <v>1384</v>
      </c>
      <c r="B385" s="1">
        <f t="shared" si="30"/>
        <v>3.75</v>
      </c>
      <c r="J385" s="3"/>
      <c r="K385" s="3"/>
      <c r="L385" s="3"/>
      <c r="N385" s="3"/>
      <c r="O385" s="3"/>
    </row>
    <row r="386" spans="1:53">
      <c r="A386" s="1">
        <v>1385</v>
      </c>
      <c r="B386" s="1">
        <f t="shared" si="30"/>
        <v>4.5</v>
      </c>
      <c r="J386" s="3"/>
      <c r="K386" s="3"/>
      <c r="L386" s="3"/>
      <c r="N386" s="3"/>
      <c r="O386" s="3"/>
      <c r="AZ386">
        <v>0</v>
      </c>
    </row>
    <row r="387" spans="1:53">
      <c r="A387" s="1">
        <v>1386</v>
      </c>
      <c r="B387" s="1">
        <f t="shared" ref="B387:B450" si="35">IF(MOD(A387,5)=0,4.5,MOD(A387,5)*0.75+0.75)</f>
        <v>1.5</v>
      </c>
      <c r="C387">
        <v>3</v>
      </c>
      <c r="D387">
        <v>2</v>
      </c>
      <c r="E387">
        <v>3</v>
      </c>
      <c r="F387">
        <v>1390</v>
      </c>
      <c r="G387">
        <v>16.5</v>
      </c>
      <c r="H387" s="3">
        <v>1</v>
      </c>
      <c r="I387" s="3">
        <v>6</v>
      </c>
      <c r="J387" s="3">
        <v>0</v>
      </c>
      <c r="K387" s="3">
        <f t="shared" ref="K387:K446" si="36">I387+H387*(B387-C387+J387)</f>
        <v>4.5</v>
      </c>
      <c r="L387" s="3">
        <f t="shared" ref="L387:L429" si="37">(G387-C387)/(M387-1)</f>
        <v>3.375</v>
      </c>
      <c r="M387">
        <v>5</v>
      </c>
      <c r="N387" s="3">
        <f t="shared" ref="N387:N446" si="38">1-1/36*((D387-L387)^2)</f>
        <v>0.94748263888888884</v>
      </c>
      <c r="O387" s="3">
        <f t="shared" ref="O387:O446" si="39">1-1/36*((E387-1)^2)</f>
        <v>0.88888888888888884</v>
      </c>
      <c r="P387" s="4">
        <f t="shared" ref="P387:P446" si="40">K387+N387+O387</f>
        <v>6.3363715277777786</v>
      </c>
      <c r="AY387">
        <v>0.18181818181818182</v>
      </c>
      <c r="AZ387">
        <v>0.18181818181818182</v>
      </c>
      <c r="BA387">
        <v>0.8177109956741333</v>
      </c>
    </row>
    <row r="388" spans="1:53">
      <c r="A388" s="1">
        <v>1387</v>
      </c>
      <c r="B388" s="1">
        <f t="shared" si="35"/>
        <v>2.25</v>
      </c>
      <c r="C388">
        <v>2</v>
      </c>
      <c r="D388">
        <v>2</v>
      </c>
      <c r="E388">
        <v>2</v>
      </c>
      <c r="F388">
        <v>1390</v>
      </c>
      <c r="G388">
        <v>16.5</v>
      </c>
      <c r="H388" s="3">
        <v>1</v>
      </c>
      <c r="I388" s="3">
        <v>6</v>
      </c>
      <c r="J388" s="3">
        <v>0</v>
      </c>
      <c r="K388" s="3">
        <f t="shared" si="36"/>
        <v>6.25</v>
      </c>
      <c r="L388" s="3">
        <f t="shared" si="37"/>
        <v>3.625</v>
      </c>
      <c r="M388" s="3">
        <v>5</v>
      </c>
      <c r="N388" s="3">
        <f t="shared" si="38"/>
        <v>0.92664930555555558</v>
      </c>
      <c r="O388" s="3">
        <f t="shared" si="39"/>
        <v>0.97222222222222221</v>
      </c>
      <c r="P388" s="4">
        <f t="shared" si="40"/>
        <v>8.1488715277777768</v>
      </c>
      <c r="AY388">
        <v>0.12121212121212122</v>
      </c>
      <c r="AZ388">
        <v>0.30303030303030304</v>
      </c>
      <c r="BA388">
        <v>0.8177109956741333</v>
      </c>
    </row>
    <row r="389" spans="1:53">
      <c r="A389" s="1">
        <v>1388</v>
      </c>
      <c r="B389" s="1">
        <f t="shared" si="35"/>
        <v>3</v>
      </c>
      <c r="C389">
        <v>3</v>
      </c>
      <c r="D389">
        <v>3</v>
      </c>
      <c r="E389">
        <v>1.5</v>
      </c>
      <c r="F389">
        <v>1390</v>
      </c>
      <c r="G389">
        <v>16.5</v>
      </c>
      <c r="H389" s="3">
        <v>1</v>
      </c>
      <c r="I389" s="3">
        <v>6</v>
      </c>
      <c r="J389" s="3">
        <v>0</v>
      </c>
      <c r="K389" s="3">
        <f t="shared" si="36"/>
        <v>6</v>
      </c>
      <c r="L389" s="3">
        <f t="shared" si="37"/>
        <v>3.375</v>
      </c>
      <c r="M389" s="3">
        <v>5</v>
      </c>
      <c r="N389" s="3">
        <f t="shared" si="38"/>
        <v>0.99609375</v>
      </c>
      <c r="O389" s="3">
        <f t="shared" si="39"/>
        <v>0.99305555555555558</v>
      </c>
      <c r="P389" s="4">
        <f t="shared" si="40"/>
        <v>7.9891493055555554</v>
      </c>
      <c r="AY389">
        <v>0.18181818181818182</v>
      </c>
      <c r="AZ389">
        <v>0.48484848484848486</v>
      </c>
      <c r="BA389">
        <v>0.8177109956741333</v>
      </c>
    </row>
    <row r="390" spans="1:53">
      <c r="A390" s="1">
        <v>1389</v>
      </c>
      <c r="B390" s="1">
        <f t="shared" si="35"/>
        <v>3.75</v>
      </c>
      <c r="C390">
        <v>5</v>
      </c>
      <c r="D390">
        <v>4.75</v>
      </c>
      <c r="E390">
        <v>4.5</v>
      </c>
      <c r="F390">
        <v>1390</v>
      </c>
      <c r="G390">
        <v>16.5</v>
      </c>
      <c r="H390" s="3">
        <v>1</v>
      </c>
      <c r="I390" s="3">
        <v>6</v>
      </c>
      <c r="J390" s="3">
        <v>0</v>
      </c>
      <c r="K390" s="3">
        <f t="shared" si="36"/>
        <v>4.75</v>
      </c>
      <c r="L390" s="3">
        <f t="shared" si="37"/>
        <v>2.875</v>
      </c>
      <c r="M390" s="3">
        <v>5</v>
      </c>
      <c r="N390" s="3">
        <f t="shared" si="38"/>
        <v>0.90234375</v>
      </c>
      <c r="O390" s="3">
        <f t="shared" si="39"/>
        <v>0.65972222222222232</v>
      </c>
      <c r="P390" s="4">
        <f t="shared" si="40"/>
        <v>6.3120659722222223</v>
      </c>
      <c r="AY390">
        <v>0.30303030303030304</v>
      </c>
      <c r="AZ390">
        <v>0.78787878787878785</v>
      </c>
      <c r="BA390">
        <v>0.8177109956741333</v>
      </c>
    </row>
    <row r="391" spans="1:53">
      <c r="A391" s="1">
        <v>1390</v>
      </c>
      <c r="B391" s="1">
        <f t="shared" si="35"/>
        <v>4.5</v>
      </c>
      <c r="C391">
        <v>3.5</v>
      </c>
      <c r="D391">
        <v>2.5</v>
      </c>
      <c r="E391">
        <v>3.5</v>
      </c>
      <c r="F391">
        <v>1390</v>
      </c>
      <c r="G391">
        <v>16.5</v>
      </c>
      <c r="H391" s="3">
        <v>1</v>
      </c>
      <c r="I391" s="3">
        <v>6</v>
      </c>
      <c r="J391" s="3">
        <f>G391-5</f>
        <v>11.5</v>
      </c>
      <c r="K391" s="3">
        <f t="shared" si="36"/>
        <v>18.5</v>
      </c>
      <c r="L391" s="3">
        <f t="shared" si="37"/>
        <v>3.25</v>
      </c>
      <c r="M391" s="3">
        <v>5</v>
      </c>
      <c r="N391" s="3">
        <f t="shared" si="38"/>
        <v>0.984375</v>
      </c>
      <c r="O391" s="3">
        <f t="shared" si="39"/>
        <v>0.82638888888888884</v>
      </c>
      <c r="P391" s="4">
        <f t="shared" si="40"/>
        <v>20.310763888888889</v>
      </c>
      <c r="AY391">
        <v>0.21212121212121213</v>
      </c>
      <c r="AZ391">
        <v>0</v>
      </c>
      <c r="BA391">
        <v>0.8177109956741333</v>
      </c>
    </row>
    <row r="392" spans="1:53">
      <c r="A392" s="1">
        <v>1391</v>
      </c>
      <c r="B392" s="1">
        <f t="shared" si="35"/>
        <v>1.5</v>
      </c>
      <c r="C392">
        <v>0</v>
      </c>
      <c r="D392">
        <v>1.25</v>
      </c>
      <c r="E392">
        <v>2</v>
      </c>
      <c r="F392">
        <v>1392</v>
      </c>
      <c r="G392">
        <v>12.25</v>
      </c>
      <c r="H392" s="3">
        <v>1</v>
      </c>
      <c r="I392" s="3">
        <v>6</v>
      </c>
      <c r="J392" s="3">
        <v>0</v>
      </c>
      <c r="K392" s="3">
        <f t="shared" si="36"/>
        <v>7.5</v>
      </c>
      <c r="L392" s="3">
        <f t="shared" si="37"/>
        <v>3.0625</v>
      </c>
      <c r="M392" s="3">
        <v>5</v>
      </c>
      <c r="N392" s="3">
        <f t="shared" si="38"/>
        <v>0.90874565972222221</v>
      </c>
      <c r="O392" s="3">
        <f t="shared" si="39"/>
        <v>0.97222222222222221</v>
      </c>
      <c r="P392" s="4">
        <f t="shared" si="40"/>
        <v>9.3809678819444429</v>
      </c>
      <c r="AY392">
        <v>0</v>
      </c>
      <c r="AZ392">
        <v>0</v>
      </c>
      <c r="BA392">
        <v>8.0356419086456299E-2</v>
      </c>
    </row>
    <row r="393" spans="1:53">
      <c r="A393" s="1">
        <v>1392</v>
      </c>
      <c r="B393" s="1">
        <f t="shared" si="35"/>
        <v>2.25</v>
      </c>
      <c r="C393">
        <v>2.25</v>
      </c>
      <c r="D393">
        <v>3</v>
      </c>
      <c r="E393">
        <v>4.5</v>
      </c>
      <c r="F393">
        <v>1392</v>
      </c>
      <c r="G393">
        <v>12.25</v>
      </c>
      <c r="H393" s="3">
        <v>1</v>
      </c>
      <c r="I393" s="3">
        <v>6</v>
      </c>
      <c r="J393" s="3">
        <f>G393-5</f>
        <v>7.25</v>
      </c>
      <c r="K393" s="3">
        <f t="shared" si="36"/>
        <v>13.25</v>
      </c>
      <c r="L393" s="3">
        <f t="shared" si="37"/>
        <v>2.5</v>
      </c>
      <c r="M393" s="3">
        <v>5</v>
      </c>
      <c r="N393" s="3">
        <f t="shared" si="38"/>
        <v>0.99305555555555558</v>
      </c>
      <c r="O393" s="3">
        <f t="shared" si="39"/>
        <v>0.65972222222222232</v>
      </c>
      <c r="P393" s="4">
        <f t="shared" si="40"/>
        <v>14.902777777777779</v>
      </c>
      <c r="AY393">
        <v>0.18367346938775511</v>
      </c>
      <c r="AZ393">
        <v>0.18367346938775511</v>
      </c>
      <c r="BA393">
        <v>8.0356419086456299E-2</v>
      </c>
    </row>
    <row r="394" spans="1:53">
      <c r="A394" s="1">
        <v>1393</v>
      </c>
      <c r="B394" s="1">
        <f t="shared" si="35"/>
        <v>3</v>
      </c>
      <c r="C394">
        <v>5</v>
      </c>
      <c r="D394">
        <v>4</v>
      </c>
      <c r="E394">
        <v>3</v>
      </c>
      <c r="F394">
        <v>1392</v>
      </c>
      <c r="G394">
        <v>12.25</v>
      </c>
      <c r="H394" s="3">
        <v>1</v>
      </c>
      <c r="I394" s="3">
        <v>6</v>
      </c>
      <c r="J394" s="3">
        <v>0</v>
      </c>
      <c r="K394" s="3">
        <f t="shared" si="36"/>
        <v>4</v>
      </c>
      <c r="L394" s="3">
        <f t="shared" si="37"/>
        <v>1.8125</v>
      </c>
      <c r="M394" s="3">
        <v>5</v>
      </c>
      <c r="N394" s="3">
        <f t="shared" si="38"/>
        <v>0.86707899305555558</v>
      </c>
      <c r="O394" s="3">
        <f t="shared" si="39"/>
        <v>0.88888888888888884</v>
      </c>
      <c r="P394" s="4">
        <f t="shared" si="40"/>
        <v>5.7559678819444446</v>
      </c>
      <c r="AY394">
        <v>0.40816326530612246</v>
      </c>
      <c r="AZ394">
        <v>0.59183673469387754</v>
      </c>
      <c r="BA394">
        <v>8.0356419086456299E-2</v>
      </c>
    </row>
    <row r="395" spans="1:53">
      <c r="A395" s="1">
        <v>1394</v>
      </c>
      <c r="B395" s="1">
        <f t="shared" si="35"/>
        <v>3.75</v>
      </c>
      <c r="C395">
        <v>4</v>
      </c>
      <c r="D395">
        <v>3</v>
      </c>
      <c r="E395">
        <v>3</v>
      </c>
      <c r="F395">
        <v>1392</v>
      </c>
      <c r="G395">
        <v>12.25</v>
      </c>
      <c r="H395" s="3">
        <v>1</v>
      </c>
      <c r="I395" s="3">
        <v>6</v>
      </c>
      <c r="J395" s="3">
        <v>0</v>
      </c>
      <c r="K395" s="3">
        <f t="shared" si="36"/>
        <v>5.75</v>
      </c>
      <c r="L395" s="3">
        <f t="shared" si="37"/>
        <v>2.0625</v>
      </c>
      <c r="M395" s="3">
        <v>5</v>
      </c>
      <c r="N395" s="3">
        <f t="shared" si="38"/>
        <v>0.9755859375</v>
      </c>
      <c r="O395" s="3">
        <f t="shared" si="39"/>
        <v>0.88888888888888884</v>
      </c>
      <c r="P395" s="4">
        <f t="shared" si="40"/>
        <v>7.6144748263888893</v>
      </c>
      <c r="AY395">
        <v>0.32653061224489793</v>
      </c>
      <c r="AZ395">
        <v>0.91836734693877542</v>
      </c>
      <c r="BA395">
        <v>8.0356419086456299E-2</v>
      </c>
    </row>
    <row r="396" spans="1:53">
      <c r="A396" s="1">
        <v>1395</v>
      </c>
      <c r="B396" s="1">
        <f t="shared" si="35"/>
        <v>4.5</v>
      </c>
      <c r="C396">
        <v>1</v>
      </c>
      <c r="D396">
        <v>3</v>
      </c>
      <c r="E396">
        <v>4</v>
      </c>
      <c r="F396">
        <v>1392</v>
      </c>
      <c r="G396">
        <v>12.25</v>
      </c>
      <c r="H396" s="3">
        <v>1</v>
      </c>
      <c r="I396" s="3">
        <v>6</v>
      </c>
      <c r="J396" s="3">
        <v>0</v>
      </c>
      <c r="K396" s="3">
        <f t="shared" si="36"/>
        <v>9.5</v>
      </c>
      <c r="L396" s="3">
        <f t="shared" si="37"/>
        <v>2.8125</v>
      </c>
      <c r="M396" s="3">
        <v>5</v>
      </c>
      <c r="N396" s="3">
        <f t="shared" si="38"/>
        <v>0.9990234375</v>
      </c>
      <c r="O396" s="3">
        <f t="shared" si="39"/>
        <v>0.75</v>
      </c>
      <c r="P396" s="4">
        <f t="shared" si="40"/>
        <v>11.2490234375</v>
      </c>
      <c r="AY396">
        <v>8.1632653061224483E-2</v>
      </c>
      <c r="AZ396">
        <v>0</v>
      </c>
      <c r="BA396">
        <v>8.0356419086456299E-2</v>
      </c>
    </row>
    <row r="397" spans="1:53">
      <c r="A397" s="1">
        <v>1396</v>
      </c>
      <c r="B397" s="1">
        <f t="shared" si="35"/>
        <v>1.5</v>
      </c>
      <c r="C397">
        <v>5</v>
      </c>
      <c r="D397">
        <v>3</v>
      </c>
      <c r="E397">
        <v>2</v>
      </c>
      <c r="F397">
        <v>1399</v>
      </c>
      <c r="G397">
        <v>25.5</v>
      </c>
      <c r="H397" s="3">
        <v>1</v>
      </c>
      <c r="I397" s="3">
        <v>6</v>
      </c>
      <c r="J397" s="3">
        <v>0</v>
      </c>
      <c r="K397" s="3">
        <f t="shared" si="36"/>
        <v>2.5</v>
      </c>
      <c r="L397" s="3">
        <f t="shared" si="37"/>
        <v>5.125</v>
      </c>
      <c r="M397" s="3">
        <v>5</v>
      </c>
      <c r="N397" s="3">
        <f t="shared" si="38"/>
        <v>0.87456597222222221</v>
      </c>
      <c r="O397" s="3">
        <f t="shared" si="39"/>
        <v>0.97222222222222221</v>
      </c>
      <c r="P397" s="4">
        <f t="shared" si="40"/>
        <v>4.3467881944444446</v>
      </c>
      <c r="AY397">
        <v>0.19607843137254902</v>
      </c>
      <c r="AZ397">
        <v>0.19607843137254902</v>
      </c>
      <c r="BA397">
        <v>0.6118934154510498</v>
      </c>
    </row>
    <row r="398" spans="1:53">
      <c r="A398" s="1">
        <v>1397</v>
      </c>
      <c r="B398" s="1">
        <f t="shared" si="35"/>
        <v>2.25</v>
      </c>
      <c r="C398">
        <v>2.5</v>
      </c>
      <c r="D398">
        <v>3</v>
      </c>
      <c r="E398">
        <v>3</v>
      </c>
      <c r="F398">
        <v>1399</v>
      </c>
      <c r="G398">
        <v>25.5</v>
      </c>
      <c r="H398" s="3">
        <v>1</v>
      </c>
      <c r="I398" s="3">
        <v>6</v>
      </c>
      <c r="J398" s="3">
        <v>0</v>
      </c>
      <c r="K398" s="3">
        <f t="shared" si="36"/>
        <v>5.75</v>
      </c>
      <c r="L398" s="3">
        <f t="shared" si="37"/>
        <v>5.75</v>
      </c>
      <c r="M398" s="3">
        <v>5</v>
      </c>
      <c r="N398" s="3">
        <f t="shared" si="38"/>
        <v>0.78993055555555558</v>
      </c>
      <c r="O398" s="3">
        <f t="shared" si="39"/>
        <v>0.88888888888888884</v>
      </c>
      <c r="P398" s="4">
        <f t="shared" si="40"/>
        <v>7.4288194444444446</v>
      </c>
      <c r="AY398">
        <v>9.8039215686274508E-2</v>
      </c>
      <c r="AZ398">
        <v>0.29411764705882354</v>
      </c>
      <c r="BA398">
        <v>0.6118934154510498</v>
      </c>
    </row>
    <row r="399" spans="1:53">
      <c r="A399" s="1">
        <v>1398</v>
      </c>
      <c r="B399" s="1">
        <f t="shared" si="35"/>
        <v>3</v>
      </c>
      <c r="C399">
        <v>6</v>
      </c>
      <c r="D399">
        <v>3.5</v>
      </c>
      <c r="E399">
        <v>3</v>
      </c>
      <c r="F399">
        <v>1399</v>
      </c>
      <c r="G399">
        <v>25.5</v>
      </c>
      <c r="H399" s="3">
        <v>1</v>
      </c>
      <c r="I399" s="3">
        <v>6</v>
      </c>
      <c r="J399" s="3">
        <v>0</v>
      </c>
      <c r="K399" s="3">
        <f t="shared" si="36"/>
        <v>3</v>
      </c>
      <c r="L399" s="3">
        <f t="shared" si="37"/>
        <v>4.875</v>
      </c>
      <c r="M399" s="3">
        <v>5</v>
      </c>
      <c r="N399" s="3">
        <f t="shared" si="38"/>
        <v>0.94748263888888884</v>
      </c>
      <c r="O399" s="3">
        <f t="shared" si="39"/>
        <v>0.88888888888888884</v>
      </c>
      <c r="P399" s="4">
        <f t="shared" si="40"/>
        <v>4.8363715277777777</v>
      </c>
      <c r="AY399">
        <v>0.23529411764705882</v>
      </c>
      <c r="AZ399">
        <v>0.52941176470588236</v>
      </c>
      <c r="BA399">
        <v>0.6118934154510498</v>
      </c>
    </row>
    <row r="400" spans="1:53">
      <c r="A400" s="1">
        <v>1399</v>
      </c>
      <c r="B400" s="1">
        <f t="shared" si="35"/>
        <v>3.75</v>
      </c>
      <c r="C400">
        <v>6</v>
      </c>
      <c r="D400">
        <v>3</v>
      </c>
      <c r="E400">
        <v>3</v>
      </c>
      <c r="F400">
        <v>1399</v>
      </c>
      <c r="G400">
        <v>25.5</v>
      </c>
      <c r="H400" s="3">
        <v>1</v>
      </c>
      <c r="I400" s="3">
        <v>6</v>
      </c>
      <c r="J400" s="3">
        <f>G400-5</f>
        <v>20.5</v>
      </c>
      <c r="K400" s="3">
        <f t="shared" si="36"/>
        <v>24.25</v>
      </c>
      <c r="L400" s="3">
        <f t="shared" si="37"/>
        <v>4.875</v>
      </c>
      <c r="M400" s="3">
        <v>5</v>
      </c>
      <c r="N400" s="3">
        <f t="shared" si="38"/>
        <v>0.90234375</v>
      </c>
      <c r="O400" s="3">
        <f t="shared" si="39"/>
        <v>0.88888888888888884</v>
      </c>
      <c r="P400" s="4">
        <f t="shared" si="40"/>
        <v>26.041232638888889</v>
      </c>
      <c r="AY400">
        <v>0.23529411764705882</v>
      </c>
      <c r="AZ400">
        <v>0.76470588235294112</v>
      </c>
      <c r="BA400">
        <v>0.6118934154510498</v>
      </c>
    </row>
    <row r="401" spans="1:53">
      <c r="A401" s="1">
        <v>1400</v>
      </c>
      <c r="B401" s="1">
        <f t="shared" si="35"/>
        <v>4.5</v>
      </c>
      <c r="C401">
        <v>6</v>
      </c>
      <c r="D401">
        <v>1.5</v>
      </c>
      <c r="E401">
        <v>2</v>
      </c>
      <c r="F401">
        <v>1399</v>
      </c>
      <c r="G401">
        <v>25.5</v>
      </c>
      <c r="H401" s="3">
        <v>1</v>
      </c>
      <c r="I401" s="3">
        <v>6</v>
      </c>
      <c r="J401" s="3">
        <v>0</v>
      </c>
      <c r="K401" s="3">
        <f t="shared" si="36"/>
        <v>4.5</v>
      </c>
      <c r="L401" s="3">
        <f t="shared" si="37"/>
        <v>4.875</v>
      </c>
      <c r="M401" s="3">
        <v>5</v>
      </c>
      <c r="N401" s="3">
        <f t="shared" si="38"/>
        <v>0.68359375</v>
      </c>
      <c r="O401" s="3">
        <f t="shared" si="39"/>
        <v>0.97222222222222221</v>
      </c>
      <c r="P401" s="4">
        <f t="shared" si="40"/>
        <v>6.1558159722222223</v>
      </c>
      <c r="AY401">
        <v>0.23529411764705882</v>
      </c>
      <c r="AZ401">
        <v>1</v>
      </c>
      <c r="BA401">
        <v>0.6118934154510498</v>
      </c>
    </row>
    <row r="402" spans="1:53">
      <c r="A402" s="1">
        <v>1401</v>
      </c>
      <c r="B402" s="1">
        <f t="shared" si="35"/>
        <v>1.5</v>
      </c>
      <c r="C402">
        <v>1.5</v>
      </c>
      <c r="D402">
        <v>3</v>
      </c>
      <c r="E402">
        <v>3</v>
      </c>
      <c r="G402">
        <v>123.75</v>
      </c>
      <c r="H402" s="3">
        <v>1</v>
      </c>
      <c r="I402" s="3">
        <v>6</v>
      </c>
      <c r="J402" s="3">
        <f>C402*(G402-45)/G402</f>
        <v>0.95454545454545459</v>
      </c>
      <c r="K402" s="3">
        <f t="shared" si="36"/>
        <v>6.954545454545455</v>
      </c>
      <c r="L402" s="3">
        <f t="shared" si="37"/>
        <v>2.7784090909090908</v>
      </c>
      <c r="M402">
        <v>45</v>
      </c>
      <c r="N402" s="3">
        <f t="shared" si="38"/>
        <v>0.99863604080578516</v>
      </c>
      <c r="O402" s="3">
        <f t="shared" si="39"/>
        <v>0.88888888888888884</v>
      </c>
      <c r="P402" s="4">
        <f t="shared" si="40"/>
        <v>8.8420703842401291</v>
      </c>
    </row>
    <row r="403" spans="1:53">
      <c r="A403" s="1">
        <v>1402</v>
      </c>
      <c r="B403" s="1">
        <f t="shared" si="35"/>
        <v>2.25</v>
      </c>
      <c r="C403">
        <v>2.25</v>
      </c>
      <c r="D403">
        <v>3</v>
      </c>
      <c r="E403">
        <v>2.25</v>
      </c>
      <c r="G403" s="3">
        <v>123.75</v>
      </c>
      <c r="H403" s="3">
        <v>1</v>
      </c>
      <c r="I403" s="3">
        <v>6</v>
      </c>
      <c r="J403" s="3">
        <f t="shared" ref="J403:J446" si="41">C403*(G403-45)/G403</f>
        <v>1.4318181818181819</v>
      </c>
      <c r="K403" s="3">
        <f t="shared" si="36"/>
        <v>7.4318181818181817</v>
      </c>
      <c r="L403" s="3">
        <f t="shared" si="37"/>
        <v>2.7613636363636362</v>
      </c>
      <c r="M403" s="3">
        <v>45</v>
      </c>
      <c r="N403" s="3">
        <f t="shared" si="38"/>
        <v>0.99841813016528924</v>
      </c>
      <c r="O403" s="3">
        <f t="shared" si="39"/>
        <v>0.95659722222222221</v>
      </c>
      <c r="P403" s="4">
        <f t="shared" si="40"/>
        <v>9.3868335342056923</v>
      </c>
    </row>
    <row r="404" spans="1:53">
      <c r="A404" s="1">
        <v>1403</v>
      </c>
      <c r="B404" s="1">
        <f t="shared" si="35"/>
        <v>3</v>
      </c>
      <c r="C404">
        <v>1.5</v>
      </c>
      <c r="D404">
        <v>2</v>
      </c>
      <c r="E404">
        <v>2</v>
      </c>
      <c r="G404" s="3">
        <v>123.75</v>
      </c>
      <c r="H404" s="3">
        <v>1</v>
      </c>
      <c r="I404" s="3">
        <v>6</v>
      </c>
      <c r="J404" s="3">
        <f t="shared" si="41"/>
        <v>0.95454545454545459</v>
      </c>
      <c r="K404" s="3">
        <f t="shared" si="36"/>
        <v>8.454545454545455</v>
      </c>
      <c r="L404" s="3">
        <f t="shared" si="37"/>
        <v>2.7784090909090908</v>
      </c>
      <c r="M404" s="3">
        <v>45</v>
      </c>
      <c r="N404" s="3">
        <f t="shared" si="38"/>
        <v>0.98316886908861345</v>
      </c>
      <c r="O404" s="3">
        <f t="shared" si="39"/>
        <v>0.97222222222222221</v>
      </c>
      <c r="P404" s="4">
        <f t="shared" si="40"/>
        <v>10.40993654585629</v>
      </c>
    </row>
    <row r="405" spans="1:53">
      <c r="A405" s="1">
        <v>1404</v>
      </c>
      <c r="B405" s="1">
        <f t="shared" si="35"/>
        <v>3.75</v>
      </c>
      <c r="C405">
        <v>4.5</v>
      </c>
      <c r="D405">
        <v>3</v>
      </c>
      <c r="E405">
        <v>3.1</v>
      </c>
      <c r="G405" s="3">
        <v>123.75</v>
      </c>
      <c r="H405" s="3">
        <v>1</v>
      </c>
      <c r="I405" s="3">
        <v>6</v>
      </c>
      <c r="J405" s="3">
        <f t="shared" si="41"/>
        <v>2.8636363636363638</v>
      </c>
      <c r="K405" s="3">
        <f t="shared" si="36"/>
        <v>8.1136363636363633</v>
      </c>
      <c r="L405" s="3">
        <f t="shared" si="37"/>
        <v>2.7102272727272729</v>
      </c>
      <c r="M405" s="3">
        <v>45</v>
      </c>
      <c r="N405" s="3">
        <f t="shared" si="38"/>
        <v>0.99766754907024791</v>
      </c>
      <c r="O405" s="3">
        <f t="shared" si="39"/>
        <v>0.87749999999999995</v>
      </c>
      <c r="P405" s="4">
        <f t="shared" si="40"/>
        <v>9.9888039127066115</v>
      </c>
    </row>
    <row r="406" spans="1:53">
      <c r="A406" s="1">
        <v>1405</v>
      </c>
      <c r="B406" s="1">
        <f t="shared" si="35"/>
        <v>4.5</v>
      </c>
      <c r="C406">
        <v>0.5</v>
      </c>
      <c r="D406">
        <v>0.5</v>
      </c>
      <c r="E406">
        <v>4.5</v>
      </c>
      <c r="G406" s="3">
        <v>123.75</v>
      </c>
      <c r="H406" s="3">
        <v>1</v>
      </c>
      <c r="I406" s="3">
        <v>6</v>
      </c>
      <c r="J406" s="3">
        <f t="shared" si="41"/>
        <v>0.31818181818181818</v>
      </c>
      <c r="K406" s="3">
        <f t="shared" si="36"/>
        <v>10.318181818181818</v>
      </c>
      <c r="L406" s="3">
        <f t="shared" si="37"/>
        <v>2.8011363636363638</v>
      </c>
      <c r="M406" s="3">
        <v>45</v>
      </c>
      <c r="N406" s="3">
        <f t="shared" si="38"/>
        <v>0.85291031766528924</v>
      </c>
      <c r="O406" s="3">
        <f t="shared" si="39"/>
        <v>0.65972222222222232</v>
      </c>
      <c r="P406" s="4">
        <f t="shared" si="40"/>
        <v>11.830814358069329</v>
      </c>
    </row>
    <row r="407" spans="1:53">
      <c r="A407" s="1">
        <v>1406</v>
      </c>
      <c r="B407" s="1">
        <f t="shared" si="35"/>
        <v>1.5</v>
      </c>
      <c r="C407">
        <v>3</v>
      </c>
      <c r="D407">
        <v>3</v>
      </c>
      <c r="E407">
        <v>5</v>
      </c>
      <c r="G407" s="3">
        <v>123.75</v>
      </c>
      <c r="H407" s="3">
        <v>1</v>
      </c>
      <c r="I407" s="3">
        <v>6</v>
      </c>
      <c r="J407" s="3">
        <f t="shared" si="41"/>
        <v>1.9090909090909092</v>
      </c>
      <c r="K407" s="3">
        <f t="shared" si="36"/>
        <v>6.4090909090909092</v>
      </c>
      <c r="L407" s="3">
        <f t="shared" si="37"/>
        <v>2.7443181818181817</v>
      </c>
      <c r="M407" s="3">
        <v>45</v>
      </c>
      <c r="N407" s="3">
        <f t="shared" si="38"/>
        <v>0.99818407799586772</v>
      </c>
      <c r="O407" s="3">
        <f t="shared" si="39"/>
        <v>0.55555555555555558</v>
      </c>
      <c r="P407" s="4">
        <f t="shared" si="40"/>
        <v>7.9628305426423323</v>
      </c>
    </row>
    <row r="408" spans="1:53">
      <c r="A408" s="1">
        <v>1407</v>
      </c>
      <c r="B408" s="1">
        <f t="shared" si="35"/>
        <v>2.25</v>
      </c>
      <c r="C408">
        <v>3</v>
      </c>
      <c r="D408">
        <v>3</v>
      </c>
      <c r="E408">
        <v>2.5</v>
      </c>
      <c r="G408" s="3">
        <v>123.75</v>
      </c>
      <c r="H408" s="3">
        <v>1</v>
      </c>
      <c r="I408" s="3">
        <v>6</v>
      </c>
      <c r="J408" s="3">
        <f t="shared" si="41"/>
        <v>1.9090909090909092</v>
      </c>
      <c r="K408" s="3">
        <f t="shared" si="36"/>
        <v>7.1590909090909092</v>
      </c>
      <c r="L408" s="3">
        <f t="shared" si="37"/>
        <v>2.7443181818181817</v>
      </c>
      <c r="M408" s="3">
        <v>45</v>
      </c>
      <c r="N408" s="3">
        <f t="shared" si="38"/>
        <v>0.99818407799586772</v>
      </c>
      <c r="O408" s="3">
        <f t="shared" si="39"/>
        <v>0.9375</v>
      </c>
      <c r="P408" s="4">
        <f t="shared" si="40"/>
        <v>9.094774987086776</v>
      </c>
    </row>
    <row r="409" spans="1:53">
      <c r="A409" s="1">
        <v>1408</v>
      </c>
      <c r="B409" s="1">
        <f t="shared" si="35"/>
        <v>3</v>
      </c>
      <c r="C409">
        <v>3</v>
      </c>
      <c r="D409">
        <v>2.5</v>
      </c>
      <c r="E409">
        <v>3.5</v>
      </c>
      <c r="G409" s="3">
        <v>123.75</v>
      </c>
      <c r="H409" s="3">
        <v>1</v>
      </c>
      <c r="I409" s="3">
        <v>6</v>
      </c>
      <c r="J409" s="3">
        <f t="shared" si="41"/>
        <v>1.9090909090909092</v>
      </c>
      <c r="K409" s="3">
        <f t="shared" si="36"/>
        <v>7.9090909090909092</v>
      </c>
      <c r="L409" s="3">
        <f t="shared" si="37"/>
        <v>2.7443181818181817</v>
      </c>
      <c r="M409" s="3">
        <v>45</v>
      </c>
      <c r="N409" s="3">
        <f t="shared" si="38"/>
        <v>0.99834190627869601</v>
      </c>
      <c r="O409" s="3">
        <f t="shared" si="39"/>
        <v>0.82638888888888884</v>
      </c>
      <c r="P409" s="4">
        <f t="shared" si="40"/>
        <v>9.733821704258494</v>
      </c>
    </row>
    <row r="410" spans="1:53">
      <c r="A410" s="1">
        <v>1409</v>
      </c>
      <c r="B410" s="1">
        <f t="shared" si="35"/>
        <v>3.75</v>
      </c>
      <c r="C410">
        <v>2.25</v>
      </c>
      <c r="D410">
        <v>3</v>
      </c>
      <c r="E410">
        <v>3.75</v>
      </c>
      <c r="G410" s="3">
        <v>123.75</v>
      </c>
      <c r="H410" s="3">
        <v>1</v>
      </c>
      <c r="I410" s="3">
        <v>6</v>
      </c>
      <c r="J410" s="3">
        <f t="shared" si="41"/>
        <v>1.4318181818181819</v>
      </c>
      <c r="K410" s="3">
        <f t="shared" si="36"/>
        <v>8.9318181818181817</v>
      </c>
      <c r="L410" s="3">
        <f t="shared" si="37"/>
        <v>2.7613636363636362</v>
      </c>
      <c r="M410" s="3">
        <v>45</v>
      </c>
      <c r="N410" s="3">
        <f t="shared" si="38"/>
        <v>0.99841813016528924</v>
      </c>
      <c r="O410" s="3">
        <f t="shared" si="39"/>
        <v>0.78993055555555558</v>
      </c>
      <c r="P410" s="4">
        <f t="shared" si="40"/>
        <v>10.720166867539026</v>
      </c>
    </row>
    <row r="411" spans="1:53">
      <c r="A411" s="1">
        <v>1410</v>
      </c>
      <c r="B411" s="1">
        <f t="shared" si="35"/>
        <v>4.5</v>
      </c>
      <c r="C411">
        <v>2.5</v>
      </c>
      <c r="D411">
        <v>3</v>
      </c>
      <c r="E411">
        <v>3.5</v>
      </c>
      <c r="G411" s="3">
        <v>123.75</v>
      </c>
      <c r="H411" s="3">
        <v>1</v>
      </c>
      <c r="I411" s="3">
        <v>6</v>
      </c>
      <c r="J411" s="3">
        <f t="shared" si="41"/>
        <v>1.5909090909090908</v>
      </c>
      <c r="K411" s="3">
        <f t="shared" si="36"/>
        <v>9.5909090909090899</v>
      </c>
      <c r="L411" s="3">
        <f t="shared" si="37"/>
        <v>2.7556818181818183</v>
      </c>
      <c r="M411" s="3">
        <v>45</v>
      </c>
      <c r="N411" s="3">
        <f t="shared" si="38"/>
        <v>0.99834190627869601</v>
      </c>
      <c r="O411" s="3">
        <f t="shared" si="39"/>
        <v>0.82638888888888884</v>
      </c>
      <c r="P411" s="4">
        <f t="shared" si="40"/>
        <v>11.415639886076676</v>
      </c>
    </row>
    <row r="412" spans="1:53">
      <c r="A412" s="1">
        <v>1411</v>
      </c>
      <c r="B412" s="1">
        <f t="shared" si="35"/>
        <v>1.5</v>
      </c>
      <c r="C412">
        <v>1</v>
      </c>
      <c r="D412">
        <v>1.5</v>
      </c>
      <c r="E412">
        <v>1.5</v>
      </c>
      <c r="G412" s="3">
        <v>123.75</v>
      </c>
      <c r="H412" s="3">
        <v>1</v>
      </c>
      <c r="I412" s="3">
        <v>6</v>
      </c>
      <c r="J412" s="3">
        <f t="shared" si="41"/>
        <v>0.63636363636363635</v>
      </c>
      <c r="K412" s="3">
        <f t="shared" si="36"/>
        <v>7.1363636363636367</v>
      </c>
      <c r="L412" s="3">
        <f t="shared" si="37"/>
        <v>2.7897727272727271</v>
      </c>
      <c r="M412" s="3">
        <v>45</v>
      </c>
      <c r="N412" s="3">
        <f t="shared" si="38"/>
        <v>0.95379128644398536</v>
      </c>
      <c r="O412" s="3">
        <f t="shared" si="39"/>
        <v>0.99305555555555558</v>
      </c>
      <c r="P412" s="4">
        <f t="shared" si="40"/>
        <v>9.0832104783631777</v>
      </c>
    </row>
    <row r="413" spans="1:53">
      <c r="A413" s="1">
        <v>1412</v>
      </c>
      <c r="B413" s="1">
        <f t="shared" si="35"/>
        <v>2.25</v>
      </c>
      <c r="C413">
        <v>3</v>
      </c>
      <c r="D413">
        <v>2.5</v>
      </c>
      <c r="E413">
        <v>3</v>
      </c>
      <c r="G413" s="3">
        <v>123.75</v>
      </c>
      <c r="H413" s="3">
        <v>1</v>
      </c>
      <c r="I413" s="3">
        <v>6</v>
      </c>
      <c r="J413" s="3">
        <f t="shared" si="41"/>
        <v>1.9090909090909092</v>
      </c>
      <c r="K413" s="3">
        <f t="shared" si="36"/>
        <v>7.1590909090909092</v>
      </c>
      <c r="L413" s="3">
        <f t="shared" si="37"/>
        <v>2.7443181818181817</v>
      </c>
      <c r="M413" s="3">
        <v>45</v>
      </c>
      <c r="N413" s="3">
        <f t="shared" si="38"/>
        <v>0.99834190627869601</v>
      </c>
      <c r="O413" s="3">
        <f t="shared" si="39"/>
        <v>0.88888888888888884</v>
      </c>
      <c r="P413" s="4">
        <f t="shared" si="40"/>
        <v>9.046321704258494</v>
      </c>
    </row>
    <row r="414" spans="1:53">
      <c r="A414" s="1">
        <v>1413</v>
      </c>
      <c r="B414" s="1">
        <f t="shared" si="35"/>
        <v>3</v>
      </c>
      <c r="C414">
        <v>3</v>
      </c>
      <c r="D414">
        <v>3</v>
      </c>
      <c r="E414">
        <v>3</v>
      </c>
      <c r="G414" s="3">
        <v>123.75</v>
      </c>
      <c r="H414" s="3">
        <v>1</v>
      </c>
      <c r="I414" s="3">
        <v>6</v>
      </c>
      <c r="J414" s="3">
        <f t="shared" si="41"/>
        <v>1.9090909090909092</v>
      </c>
      <c r="K414" s="3">
        <f t="shared" si="36"/>
        <v>7.9090909090909092</v>
      </c>
      <c r="L414" s="3">
        <f t="shared" si="37"/>
        <v>2.7443181818181817</v>
      </c>
      <c r="M414" s="3">
        <v>45</v>
      </c>
      <c r="N414" s="3">
        <f t="shared" si="38"/>
        <v>0.99818407799586772</v>
      </c>
      <c r="O414" s="3">
        <f t="shared" si="39"/>
        <v>0.88888888888888884</v>
      </c>
      <c r="P414" s="4">
        <f t="shared" si="40"/>
        <v>9.7961638759756653</v>
      </c>
    </row>
    <row r="415" spans="1:53">
      <c r="A415" s="1">
        <v>1414</v>
      </c>
      <c r="B415" s="1">
        <f t="shared" si="35"/>
        <v>3.75</v>
      </c>
      <c r="C415">
        <v>3</v>
      </c>
      <c r="D415">
        <v>3</v>
      </c>
      <c r="E415">
        <v>3</v>
      </c>
      <c r="G415" s="3">
        <v>123.75</v>
      </c>
      <c r="H415" s="3">
        <v>1</v>
      </c>
      <c r="I415" s="3">
        <v>6</v>
      </c>
      <c r="J415" s="3">
        <f t="shared" si="41"/>
        <v>1.9090909090909092</v>
      </c>
      <c r="K415" s="3">
        <f t="shared" si="36"/>
        <v>8.6590909090909101</v>
      </c>
      <c r="L415" s="3">
        <f t="shared" si="37"/>
        <v>2.7443181818181817</v>
      </c>
      <c r="M415" s="3">
        <v>45</v>
      </c>
      <c r="N415" s="3">
        <f t="shared" si="38"/>
        <v>0.99818407799586772</v>
      </c>
      <c r="O415" s="3">
        <f t="shared" si="39"/>
        <v>0.88888888888888884</v>
      </c>
      <c r="P415" s="4">
        <f t="shared" si="40"/>
        <v>10.546163875975667</v>
      </c>
    </row>
    <row r="416" spans="1:53">
      <c r="A416" s="1">
        <v>1415</v>
      </c>
      <c r="B416" s="1">
        <f t="shared" si="35"/>
        <v>4.5</v>
      </c>
      <c r="C416">
        <v>1</v>
      </c>
      <c r="D416">
        <v>1</v>
      </c>
      <c r="E416">
        <v>5</v>
      </c>
      <c r="G416" s="3">
        <v>123.75</v>
      </c>
      <c r="H416" s="3">
        <v>1</v>
      </c>
      <c r="I416" s="3">
        <v>6</v>
      </c>
      <c r="J416" s="3">
        <f t="shared" si="41"/>
        <v>0.63636363636363635</v>
      </c>
      <c r="K416" s="3">
        <f t="shared" si="36"/>
        <v>10.136363636363637</v>
      </c>
      <c r="L416" s="3">
        <f t="shared" si="37"/>
        <v>2.7897727272727271</v>
      </c>
      <c r="M416" s="3">
        <v>45</v>
      </c>
      <c r="N416" s="3">
        <f t="shared" si="38"/>
        <v>0.91101982179752072</v>
      </c>
      <c r="O416" s="3">
        <f t="shared" si="39"/>
        <v>0.55555555555555558</v>
      </c>
      <c r="P416" s="4">
        <f t="shared" si="40"/>
        <v>11.602939013716712</v>
      </c>
    </row>
    <row r="417" spans="1:16">
      <c r="A417" s="1">
        <v>1416</v>
      </c>
      <c r="B417" s="1">
        <f t="shared" si="35"/>
        <v>1.5</v>
      </c>
      <c r="C417">
        <v>2.5</v>
      </c>
      <c r="D417">
        <v>2.7</v>
      </c>
      <c r="E417">
        <v>3</v>
      </c>
      <c r="G417" s="3">
        <v>123.75</v>
      </c>
      <c r="H417" s="3">
        <v>1</v>
      </c>
      <c r="I417" s="3">
        <v>6</v>
      </c>
      <c r="J417" s="3">
        <f t="shared" si="41"/>
        <v>1.5909090909090908</v>
      </c>
      <c r="K417" s="3">
        <f t="shared" si="36"/>
        <v>6.5909090909090908</v>
      </c>
      <c r="L417" s="3">
        <f t="shared" si="37"/>
        <v>2.7556818181818183</v>
      </c>
      <c r="M417" s="3">
        <v>45</v>
      </c>
      <c r="N417" s="3">
        <f t="shared" si="38"/>
        <v>0.99991387597566572</v>
      </c>
      <c r="O417" s="3">
        <f t="shared" si="39"/>
        <v>0.88888888888888884</v>
      </c>
      <c r="P417" s="4">
        <f t="shared" si="40"/>
        <v>8.4797118557736457</v>
      </c>
    </row>
    <row r="418" spans="1:16">
      <c r="A418" s="1">
        <v>1417</v>
      </c>
      <c r="B418" s="1">
        <f t="shared" si="35"/>
        <v>2.25</v>
      </c>
      <c r="C418">
        <v>2.25</v>
      </c>
      <c r="D418">
        <v>2.8</v>
      </c>
      <c r="E418">
        <v>3.5</v>
      </c>
      <c r="G418" s="3">
        <v>123.75</v>
      </c>
      <c r="H418" s="3">
        <v>1</v>
      </c>
      <c r="I418" s="3">
        <v>6</v>
      </c>
      <c r="J418" s="3">
        <f t="shared" si="41"/>
        <v>1.4318181818181819</v>
      </c>
      <c r="K418" s="3">
        <f t="shared" si="36"/>
        <v>7.4318181818181817</v>
      </c>
      <c r="L418" s="3">
        <f t="shared" si="37"/>
        <v>2.7613636363636362</v>
      </c>
      <c r="M418" s="3">
        <v>45</v>
      </c>
      <c r="N418" s="3">
        <f t="shared" si="38"/>
        <v>0.99995853420569325</v>
      </c>
      <c r="O418" s="3">
        <f t="shared" si="39"/>
        <v>0.82638888888888884</v>
      </c>
      <c r="P418" s="4">
        <f t="shared" si="40"/>
        <v>9.2581656049127634</v>
      </c>
    </row>
    <row r="419" spans="1:16">
      <c r="A419" s="1">
        <v>1418</v>
      </c>
      <c r="B419" s="1">
        <f t="shared" si="35"/>
        <v>3</v>
      </c>
      <c r="C419">
        <v>3</v>
      </c>
      <c r="D419">
        <v>2</v>
      </c>
      <c r="E419">
        <v>3</v>
      </c>
      <c r="G419" s="3">
        <v>123.75</v>
      </c>
      <c r="H419" s="3">
        <v>1</v>
      </c>
      <c r="I419" s="3">
        <v>6</v>
      </c>
      <c r="J419" s="3">
        <f t="shared" si="41"/>
        <v>1.9090909090909092</v>
      </c>
      <c r="K419" s="3">
        <f t="shared" si="36"/>
        <v>7.9090909090909092</v>
      </c>
      <c r="L419" s="3">
        <f t="shared" si="37"/>
        <v>2.7443181818181817</v>
      </c>
      <c r="M419" s="3">
        <v>45</v>
      </c>
      <c r="N419" s="3">
        <f t="shared" si="38"/>
        <v>0.98461084567263546</v>
      </c>
      <c r="O419" s="3">
        <f t="shared" si="39"/>
        <v>0.88888888888888884</v>
      </c>
      <c r="P419" s="4">
        <f t="shared" si="40"/>
        <v>9.7825906436524335</v>
      </c>
    </row>
    <row r="420" spans="1:16">
      <c r="A420" s="1">
        <v>1419</v>
      </c>
      <c r="B420" s="1">
        <f t="shared" si="35"/>
        <v>3.75</v>
      </c>
      <c r="C420">
        <v>0</v>
      </c>
      <c r="D420">
        <v>3</v>
      </c>
      <c r="E420">
        <v>4</v>
      </c>
      <c r="G420" s="3">
        <v>123.75</v>
      </c>
      <c r="H420" s="3">
        <v>1</v>
      </c>
      <c r="I420" s="3">
        <v>6</v>
      </c>
      <c r="J420" s="3">
        <f t="shared" si="41"/>
        <v>0</v>
      </c>
      <c r="K420" s="3">
        <f t="shared" si="36"/>
        <v>9.75</v>
      </c>
      <c r="L420" s="3">
        <f t="shared" si="37"/>
        <v>2.8125</v>
      </c>
      <c r="M420" s="3">
        <v>45</v>
      </c>
      <c r="N420" s="3">
        <f t="shared" si="38"/>
        <v>0.9990234375</v>
      </c>
      <c r="O420" s="3">
        <f t="shared" si="39"/>
        <v>0.75</v>
      </c>
      <c r="P420" s="4">
        <f t="shared" si="40"/>
        <v>11.4990234375</v>
      </c>
    </row>
    <row r="421" spans="1:16">
      <c r="A421" s="1">
        <v>1420</v>
      </c>
      <c r="B421" s="1">
        <f t="shared" si="35"/>
        <v>4.5</v>
      </c>
      <c r="C421">
        <v>4.5</v>
      </c>
      <c r="D421">
        <v>2.5</v>
      </c>
      <c r="E421">
        <v>3</v>
      </c>
      <c r="G421" s="3">
        <v>123.75</v>
      </c>
      <c r="H421" s="3">
        <v>1</v>
      </c>
      <c r="I421" s="3">
        <v>6</v>
      </c>
      <c r="J421" s="3">
        <f t="shared" si="41"/>
        <v>2.8636363636363638</v>
      </c>
      <c r="K421" s="3">
        <f t="shared" si="36"/>
        <v>8.8636363636363633</v>
      </c>
      <c r="L421" s="3">
        <f t="shared" si="37"/>
        <v>2.7102272727272729</v>
      </c>
      <c r="M421" s="3">
        <v>45</v>
      </c>
      <c r="N421" s="3">
        <f t="shared" si="38"/>
        <v>0.99877234705004592</v>
      </c>
      <c r="O421" s="3">
        <f t="shared" si="39"/>
        <v>0.88888888888888884</v>
      </c>
      <c r="P421" s="4">
        <f t="shared" si="40"/>
        <v>10.751297599575299</v>
      </c>
    </row>
    <row r="422" spans="1:16">
      <c r="A422" s="1">
        <v>1421</v>
      </c>
      <c r="B422" s="1">
        <f t="shared" si="35"/>
        <v>1.5</v>
      </c>
      <c r="C422">
        <v>2</v>
      </c>
      <c r="D422">
        <v>2</v>
      </c>
      <c r="E422">
        <v>1.5</v>
      </c>
      <c r="G422" s="3">
        <v>123.75</v>
      </c>
      <c r="H422" s="3">
        <v>1</v>
      </c>
      <c r="I422" s="3">
        <v>6</v>
      </c>
      <c r="J422" s="3">
        <f t="shared" si="41"/>
        <v>1.2727272727272727</v>
      </c>
      <c r="K422" s="3">
        <f t="shared" si="36"/>
        <v>6.7727272727272725</v>
      </c>
      <c r="L422" s="3">
        <f t="shared" si="37"/>
        <v>2.7670454545454546</v>
      </c>
      <c r="M422" s="3">
        <v>45</v>
      </c>
      <c r="N422" s="3">
        <f t="shared" si="38"/>
        <v>0.98365670196280997</v>
      </c>
      <c r="O422" s="3">
        <f t="shared" si="39"/>
        <v>0.99305555555555558</v>
      </c>
      <c r="P422" s="4">
        <f t="shared" si="40"/>
        <v>8.7494395302456383</v>
      </c>
    </row>
    <row r="423" spans="1:16">
      <c r="A423" s="1">
        <v>1422</v>
      </c>
      <c r="B423" s="1">
        <f t="shared" si="35"/>
        <v>2.25</v>
      </c>
      <c r="C423">
        <v>4</v>
      </c>
      <c r="D423">
        <v>4</v>
      </c>
      <c r="E423">
        <v>3</v>
      </c>
      <c r="G423" s="3">
        <v>123.75</v>
      </c>
      <c r="H423" s="3">
        <v>1</v>
      </c>
      <c r="I423" s="3">
        <v>6</v>
      </c>
      <c r="J423" s="3">
        <f t="shared" si="41"/>
        <v>2.5454545454545454</v>
      </c>
      <c r="K423" s="3">
        <f t="shared" si="36"/>
        <v>6.795454545454545</v>
      </c>
      <c r="L423" s="3">
        <f t="shared" si="37"/>
        <v>2.7215909090909092</v>
      </c>
      <c r="M423" s="3">
        <v>45</v>
      </c>
      <c r="N423" s="3">
        <f t="shared" si="38"/>
        <v>0.95460194989669422</v>
      </c>
      <c r="O423" s="3">
        <f t="shared" si="39"/>
        <v>0.88888888888888884</v>
      </c>
      <c r="P423" s="4">
        <f t="shared" si="40"/>
        <v>8.6389453842401274</v>
      </c>
    </row>
    <row r="424" spans="1:16">
      <c r="A424" s="1">
        <v>1423</v>
      </c>
      <c r="B424" s="1">
        <f t="shared" si="35"/>
        <v>3</v>
      </c>
      <c r="C424">
        <v>2.5</v>
      </c>
      <c r="D424">
        <v>3</v>
      </c>
      <c r="E424">
        <v>3</v>
      </c>
      <c r="G424" s="3">
        <v>123.75</v>
      </c>
      <c r="H424" s="3">
        <v>1</v>
      </c>
      <c r="I424" s="3">
        <v>6</v>
      </c>
      <c r="J424" s="3">
        <f t="shared" si="41"/>
        <v>1.5909090909090908</v>
      </c>
      <c r="K424" s="3">
        <f t="shared" si="36"/>
        <v>8.0909090909090899</v>
      </c>
      <c r="L424" s="3">
        <f t="shared" si="37"/>
        <v>2.7556818181818183</v>
      </c>
      <c r="M424" s="3">
        <v>45</v>
      </c>
      <c r="N424" s="3">
        <f t="shared" si="38"/>
        <v>0.99834190627869601</v>
      </c>
      <c r="O424" s="3">
        <f t="shared" si="39"/>
        <v>0.88888888888888884</v>
      </c>
      <c r="P424" s="4">
        <f t="shared" si="40"/>
        <v>9.9781398860766757</v>
      </c>
    </row>
    <row r="425" spans="1:16">
      <c r="A425" s="1">
        <v>1424</v>
      </c>
      <c r="B425" s="1">
        <f t="shared" si="35"/>
        <v>3.75</v>
      </c>
      <c r="C425">
        <v>3</v>
      </c>
      <c r="D425">
        <v>2.75</v>
      </c>
      <c r="E425">
        <v>3</v>
      </c>
      <c r="G425" s="3">
        <v>123.75</v>
      </c>
      <c r="H425" s="3">
        <v>1</v>
      </c>
      <c r="I425" s="3">
        <v>6</v>
      </c>
      <c r="J425" s="3">
        <f t="shared" si="41"/>
        <v>1.9090909090909092</v>
      </c>
      <c r="K425" s="3">
        <f t="shared" si="36"/>
        <v>8.6590909090909101</v>
      </c>
      <c r="L425" s="3">
        <f t="shared" si="37"/>
        <v>2.7443181818181817</v>
      </c>
      <c r="M425" s="3">
        <v>45</v>
      </c>
      <c r="N425" s="3">
        <f t="shared" si="38"/>
        <v>0.99999910324839303</v>
      </c>
      <c r="O425" s="3">
        <f t="shared" si="39"/>
        <v>0.88888888888888884</v>
      </c>
      <c r="P425" s="4">
        <f t="shared" si="40"/>
        <v>10.547978901228193</v>
      </c>
    </row>
    <row r="426" spans="1:16">
      <c r="A426" s="1">
        <v>1425</v>
      </c>
      <c r="B426" s="1">
        <f t="shared" si="35"/>
        <v>4.5</v>
      </c>
      <c r="C426">
        <v>0</v>
      </c>
      <c r="D426">
        <v>3</v>
      </c>
      <c r="E426">
        <v>3</v>
      </c>
      <c r="G426" s="3">
        <v>123.75</v>
      </c>
      <c r="H426" s="3">
        <v>1</v>
      </c>
      <c r="I426" s="3">
        <v>6</v>
      </c>
      <c r="J426" s="3">
        <f t="shared" si="41"/>
        <v>0</v>
      </c>
      <c r="K426" s="3">
        <f t="shared" si="36"/>
        <v>10.5</v>
      </c>
      <c r="L426" s="3">
        <f t="shared" si="37"/>
        <v>2.8125</v>
      </c>
      <c r="M426" s="3">
        <v>45</v>
      </c>
      <c r="N426" s="3">
        <f t="shared" si="38"/>
        <v>0.9990234375</v>
      </c>
      <c r="O426" s="3">
        <f t="shared" si="39"/>
        <v>0.88888888888888884</v>
      </c>
      <c r="P426" s="4">
        <f t="shared" si="40"/>
        <v>12.387912326388889</v>
      </c>
    </row>
    <row r="427" spans="1:16">
      <c r="A427" s="1">
        <v>1426</v>
      </c>
      <c r="B427" s="1">
        <f t="shared" si="35"/>
        <v>1.5</v>
      </c>
      <c r="C427">
        <v>3</v>
      </c>
      <c r="D427">
        <f>6/45</f>
        <v>0.13333333333333333</v>
      </c>
      <c r="E427">
        <f>6/45</f>
        <v>0.13333333333333333</v>
      </c>
      <c r="G427" s="3">
        <v>123.75</v>
      </c>
      <c r="H427" s="3">
        <v>1</v>
      </c>
      <c r="I427" s="3">
        <v>6</v>
      </c>
      <c r="J427" s="3">
        <f t="shared" si="41"/>
        <v>1.9090909090909092</v>
      </c>
      <c r="K427" s="3">
        <f t="shared" si="36"/>
        <v>6.4090909090909092</v>
      </c>
      <c r="L427" s="3">
        <f t="shared" si="37"/>
        <v>2.7443181818181817</v>
      </c>
      <c r="M427" s="3">
        <v>45</v>
      </c>
      <c r="N427" s="3">
        <f t="shared" si="38"/>
        <v>0.81063217002729315</v>
      </c>
      <c r="O427" s="3">
        <f t="shared" si="39"/>
        <v>0.97913580246913579</v>
      </c>
      <c r="P427" s="4">
        <f t="shared" si="40"/>
        <v>8.1988588815873378</v>
      </c>
    </row>
    <row r="428" spans="1:16">
      <c r="A428" s="1">
        <v>1427</v>
      </c>
      <c r="B428" s="1">
        <f t="shared" si="35"/>
        <v>2.25</v>
      </c>
      <c r="C428">
        <v>1.25</v>
      </c>
      <c r="D428">
        <v>2</v>
      </c>
      <c r="E428">
        <v>1.5</v>
      </c>
      <c r="G428" s="3">
        <v>123.75</v>
      </c>
      <c r="H428" s="3">
        <v>1</v>
      </c>
      <c r="I428" s="3">
        <v>6</v>
      </c>
      <c r="J428" s="3">
        <f t="shared" si="41"/>
        <v>0.79545454545454541</v>
      </c>
      <c r="K428" s="3">
        <f t="shared" si="36"/>
        <v>7.795454545454545</v>
      </c>
      <c r="L428" s="3">
        <f t="shared" si="37"/>
        <v>2.7840909090909092</v>
      </c>
      <c r="M428" s="3">
        <v>45</v>
      </c>
      <c r="N428" s="3">
        <f t="shared" si="38"/>
        <v>0.98292226239669422</v>
      </c>
      <c r="O428" s="3">
        <f t="shared" si="39"/>
        <v>0.99305555555555558</v>
      </c>
      <c r="P428" s="4">
        <f t="shared" si="40"/>
        <v>9.7714323634067952</v>
      </c>
    </row>
    <row r="429" spans="1:16">
      <c r="A429" s="1">
        <v>1428</v>
      </c>
      <c r="B429" s="1">
        <f t="shared" si="35"/>
        <v>3</v>
      </c>
      <c r="C429">
        <v>5</v>
      </c>
      <c r="D429">
        <v>4</v>
      </c>
      <c r="E429">
        <v>5</v>
      </c>
      <c r="G429" s="3">
        <v>123.75</v>
      </c>
      <c r="H429" s="3">
        <v>1</v>
      </c>
      <c r="I429" s="3">
        <v>6</v>
      </c>
      <c r="J429" s="3">
        <f t="shared" si="41"/>
        <v>3.1818181818181817</v>
      </c>
      <c r="K429" s="3">
        <f t="shared" si="36"/>
        <v>7.1818181818181817</v>
      </c>
      <c r="L429" s="3">
        <f t="shared" si="37"/>
        <v>2.6988636363636362</v>
      </c>
      <c r="M429" s="3">
        <v>45</v>
      </c>
      <c r="N429" s="3">
        <f t="shared" si="38"/>
        <v>0.95297344897842051</v>
      </c>
      <c r="O429" s="3">
        <f t="shared" si="39"/>
        <v>0.55555555555555558</v>
      </c>
      <c r="P429" s="4">
        <f t="shared" si="40"/>
        <v>8.6903471863521577</v>
      </c>
    </row>
    <row r="430" spans="1:16">
      <c r="A430" s="1">
        <v>1429</v>
      </c>
      <c r="B430" s="1">
        <f t="shared" si="35"/>
        <v>3.75</v>
      </c>
      <c r="C430">
        <v>3</v>
      </c>
      <c r="D430">
        <v>3</v>
      </c>
      <c r="E430">
        <v>1</v>
      </c>
      <c r="G430" s="3">
        <v>123.75</v>
      </c>
      <c r="H430" s="3">
        <v>1</v>
      </c>
      <c r="I430" s="3">
        <v>6</v>
      </c>
      <c r="J430" s="3">
        <f t="shared" si="41"/>
        <v>1.9090909090909092</v>
      </c>
      <c r="K430" s="3">
        <f t="shared" si="36"/>
        <v>8.6590909090909101</v>
      </c>
      <c r="L430" s="3">
        <f t="shared" ref="L430:L493" si="42">(G430-C430)/(M430-1)</f>
        <v>2.7443181818181817</v>
      </c>
      <c r="M430" s="3">
        <v>45</v>
      </c>
      <c r="N430" s="3">
        <f t="shared" si="38"/>
        <v>0.99818407799586772</v>
      </c>
      <c r="O430" s="3">
        <f t="shared" si="39"/>
        <v>1</v>
      </c>
      <c r="P430" s="4">
        <f t="shared" si="40"/>
        <v>10.657274987086778</v>
      </c>
    </row>
    <row r="431" spans="1:16" s="6" customFormat="1">
      <c r="A431" s="5">
        <v>1430</v>
      </c>
      <c r="B431" s="5">
        <f t="shared" si="35"/>
        <v>4.5</v>
      </c>
      <c r="C431" s="6">
        <v>6</v>
      </c>
      <c r="D431" s="6">
        <v>4</v>
      </c>
      <c r="E431" s="6">
        <v>3.5</v>
      </c>
      <c r="G431" s="6">
        <v>123.75</v>
      </c>
      <c r="H431" s="6">
        <v>1</v>
      </c>
      <c r="I431" s="6">
        <v>6</v>
      </c>
      <c r="J431" s="6">
        <f t="shared" si="41"/>
        <v>3.8181818181818183</v>
      </c>
      <c r="K431" s="6">
        <f t="shared" si="36"/>
        <v>8.3181818181818183</v>
      </c>
      <c r="L431" s="6">
        <f t="shared" si="42"/>
        <v>2.6761363636363638</v>
      </c>
      <c r="M431" s="6">
        <v>45</v>
      </c>
      <c r="N431" s="6">
        <f t="shared" si="38"/>
        <v>0.95131625200872361</v>
      </c>
      <c r="O431" s="6">
        <f t="shared" si="39"/>
        <v>0.82638888888888884</v>
      </c>
      <c r="P431" s="7">
        <f t="shared" si="40"/>
        <v>10.095886959079431</v>
      </c>
    </row>
    <row r="432" spans="1:16">
      <c r="A432" s="1">
        <v>1431</v>
      </c>
      <c r="B432" s="1">
        <f t="shared" si="35"/>
        <v>1.5</v>
      </c>
      <c r="C432">
        <v>1.5</v>
      </c>
      <c r="D432">
        <v>1.5</v>
      </c>
      <c r="E432">
        <v>2</v>
      </c>
      <c r="G432" s="3">
        <v>123.75</v>
      </c>
      <c r="H432" s="3">
        <v>1</v>
      </c>
      <c r="I432" s="3">
        <v>6</v>
      </c>
      <c r="J432" s="3">
        <f t="shared" si="41"/>
        <v>0.95454545454545459</v>
      </c>
      <c r="K432" s="3">
        <f t="shared" si="36"/>
        <v>6.954545454545455</v>
      </c>
      <c r="L432" s="3">
        <f t="shared" si="42"/>
        <v>2.7784090909090908</v>
      </c>
      <c r="M432" s="3">
        <v>45</v>
      </c>
      <c r="N432" s="3">
        <f t="shared" si="38"/>
        <v>0.95460194989669422</v>
      </c>
      <c r="O432" s="3">
        <f t="shared" si="39"/>
        <v>0.97222222222222221</v>
      </c>
      <c r="P432" s="4">
        <f t="shared" si="40"/>
        <v>8.8813696266643714</v>
      </c>
    </row>
    <row r="433" spans="1:16">
      <c r="A433" s="1">
        <v>1432</v>
      </c>
      <c r="B433" s="1">
        <f t="shared" si="35"/>
        <v>2.25</v>
      </c>
      <c r="C433">
        <v>1</v>
      </c>
      <c r="D433">
        <v>3.05</v>
      </c>
      <c r="E433">
        <v>3</v>
      </c>
      <c r="G433" s="3">
        <v>123.75</v>
      </c>
      <c r="H433" s="3">
        <v>1</v>
      </c>
      <c r="I433" s="3">
        <v>6</v>
      </c>
      <c r="J433" s="3">
        <f t="shared" si="41"/>
        <v>0.63636363636363635</v>
      </c>
      <c r="K433" s="3">
        <f t="shared" si="36"/>
        <v>7.8863636363636367</v>
      </c>
      <c r="L433" s="3">
        <f t="shared" si="42"/>
        <v>2.7897727272727271</v>
      </c>
      <c r="M433" s="3">
        <v>45</v>
      </c>
      <c r="N433" s="3">
        <f t="shared" si="38"/>
        <v>0.99811893795913686</v>
      </c>
      <c r="O433" s="3">
        <f t="shared" si="39"/>
        <v>0.88888888888888884</v>
      </c>
      <c r="P433" s="4">
        <f t="shared" si="40"/>
        <v>9.7733714632116637</v>
      </c>
    </row>
    <row r="434" spans="1:16">
      <c r="A434" s="1">
        <v>1433</v>
      </c>
      <c r="B434" s="1">
        <f t="shared" si="35"/>
        <v>3</v>
      </c>
      <c r="C434">
        <v>3</v>
      </c>
      <c r="D434">
        <v>3</v>
      </c>
      <c r="E434">
        <v>4</v>
      </c>
      <c r="G434" s="3">
        <v>123.75</v>
      </c>
      <c r="H434" s="3">
        <v>1</v>
      </c>
      <c r="I434" s="3">
        <v>6</v>
      </c>
      <c r="J434" s="3">
        <f t="shared" si="41"/>
        <v>1.9090909090909092</v>
      </c>
      <c r="K434" s="3">
        <f t="shared" si="36"/>
        <v>7.9090909090909092</v>
      </c>
      <c r="L434" s="3">
        <f t="shared" si="42"/>
        <v>2.7443181818181817</v>
      </c>
      <c r="M434" s="3">
        <v>45</v>
      </c>
      <c r="N434" s="3">
        <f t="shared" si="38"/>
        <v>0.99818407799586772</v>
      </c>
      <c r="O434" s="3">
        <f t="shared" si="39"/>
        <v>0.75</v>
      </c>
      <c r="P434" s="4">
        <f t="shared" si="40"/>
        <v>9.657274987086776</v>
      </c>
    </row>
    <row r="435" spans="1:16">
      <c r="A435" s="1">
        <v>1434</v>
      </c>
      <c r="B435" s="1">
        <f t="shared" si="35"/>
        <v>3.75</v>
      </c>
      <c r="C435">
        <v>3.75</v>
      </c>
      <c r="D435">
        <v>3</v>
      </c>
      <c r="E435">
        <v>3.75</v>
      </c>
      <c r="G435" s="3">
        <v>123.75</v>
      </c>
      <c r="H435" s="3">
        <v>1</v>
      </c>
      <c r="I435" s="3">
        <v>6</v>
      </c>
      <c r="J435" s="3">
        <f t="shared" si="41"/>
        <v>2.3863636363636362</v>
      </c>
      <c r="K435" s="3">
        <f t="shared" si="36"/>
        <v>8.3863636363636367</v>
      </c>
      <c r="L435" s="3">
        <f t="shared" si="42"/>
        <v>2.7272727272727271</v>
      </c>
      <c r="M435" s="3">
        <v>45</v>
      </c>
      <c r="N435" s="3">
        <f t="shared" si="38"/>
        <v>0.99793388429752061</v>
      </c>
      <c r="O435" s="3">
        <f t="shared" si="39"/>
        <v>0.78993055555555558</v>
      </c>
      <c r="P435" s="4">
        <f t="shared" si="40"/>
        <v>10.174228076216712</v>
      </c>
    </row>
    <row r="436" spans="1:16">
      <c r="A436" s="1">
        <v>1435</v>
      </c>
      <c r="B436" s="1">
        <f t="shared" si="35"/>
        <v>4.5</v>
      </c>
      <c r="C436">
        <v>1.5</v>
      </c>
      <c r="D436">
        <v>2.5</v>
      </c>
      <c r="E436">
        <v>3.5</v>
      </c>
      <c r="G436" s="3">
        <v>123.75</v>
      </c>
      <c r="H436" s="3">
        <v>1</v>
      </c>
      <c r="I436" s="3">
        <v>6</v>
      </c>
      <c r="J436" s="3">
        <f t="shared" si="41"/>
        <v>0.95454545454545459</v>
      </c>
      <c r="K436" s="3">
        <f t="shared" si="36"/>
        <v>9.954545454545455</v>
      </c>
      <c r="L436" s="3">
        <f t="shared" si="42"/>
        <v>2.7784090909090908</v>
      </c>
      <c r="M436" s="3">
        <v>45</v>
      </c>
      <c r="N436" s="3">
        <f t="shared" si="38"/>
        <v>0.99784689939164373</v>
      </c>
      <c r="O436" s="3">
        <f t="shared" si="39"/>
        <v>0.82638888888888884</v>
      </c>
      <c r="P436" s="4">
        <f t="shared" si="40"/>
        <v>11.778781242825987</v>
      </c>
    </row>
    <row r="437" spans="1:16">
      <c r="A437" s="1">
        <v>1436</v>
      </c>
      <c r="B437" s="1">
        <f t="shared" si="35"/>
        <v>1.5</v>
      </c>
      <c r="C437">
        <v>6</v>
      </c>
      <c r="D437">
        <v>4.5</v>
      </c>
      <c r="E437">
        <v>4</v>
      </c>
      <c r="G437" s="3">
        <v>123.75</v>
      </c>
      <c r="H437" s="3">
        <v>1</v>
      </c>
      <c r="I437" s="3">
        <v>6</v>
      </c>
      <c r="J437" s="3">
        <f t="shared" si="41"/>
        <v>3.8181818181818183</v>
      </c>
      <c r="K437" s="3">
        <f t="shared" si="36"/>
        <v>5.3181818181818183</v>
      </c>
      <c r="L437" s="3">
        <f t="shared" si="42"/>
        <v>2.6761363636363638</v>
      </c>
      <c r="M437" s="3">
        <v>45</v>
      </c>
      <c r="N437" s="3">
        <f t="shared" si="38"/>
        <v>0.90759781766528924</v>
      </c>
      <c r="O437" s="3">
        <f t="shared" si="39"/>
        <v>0.75</v>
      </c>
      <c r="P437" s="4">
        <f t="shared" si="40"/>
        <v>6.9757796358471076</v>
      </c>
    </row>
    <row r="438" spans="1:16">
      <c r="A438" s="1">
        <v>1437</v>
      </c>
      <c r="B438" s="1">
        <f t="shared" si="35"/>
        <v>2.25</v>
      </c>
      <c r="C438">
        <v>4</v>
      </c>
      <c r="D438">
        <v>2.8</v>
      </c>
      <c r="E438">
        <v>3.2</v>
      </c>
      <c r="G438" s="3">
        <v>123.75</v>
      </c>
      <c r="H438" s="3">
        <v>1</v>
      </c>
      <c r="I438" s="3">
        <v>6</v>
      </c>
      <c r="J438" s="3">
        <f t="shared" si="41"/>
        <v>2.5454545454545454</v>
      </c>
      <c r="K438" s="3">
        <f t="shared" si="36"/>
        <v>6.795454545454545</v>
      </c>
      <c r="L438" s="3">
        <f t="shared" si="42"/>
        <v>2.7215909090909092</v>
      </c>
      <c r="M438" s="3">
        <v>45</v>
      </c>
      <c r="N438" s="3">
        <f t="shared" si="38"/>
        <v>0.9998292226239669</v>
      </c>
      <c r="O438" s="3">
        <f t="shared" si="39"/>
        <v>0.86555555555555552</v>
      </c>
      <c r="P438" s="4">
        <f t="shared" si="40"/>
        <v>8.6608393236340682</v>
      </c>
    </row>
    <row r="439" spans="1:16">
      <c r="A439" s="1">
        <v>1438</v>
      </c>
      <c r="B439" s="1">
        <f t="shared" si="35"/>
        <v>3</v>
      </c>
      <c r="C439">
        <v>3</v>
      </c>
      <c r="D439">
        <v>2.5</v>
      </c>
      <c r="E439">
        <v>3</v>
      </c>
      <c r="G439" s="3">
        <v>123.75</v>
      </c>
      <c r="H439" s="3">
        <v>1</v>
      </c>
      <c r="I439" s="3">
        <v>6</v>
      </c>
      <c r="J439" s="3">
        <f t="shared" si="41"/>
        <v>1.9090909090909092</v>
      </c>
      <c r="K439" s="3">
        <f t="shared" si="36"/>
        <v>7.9090909090909092</v>
      </c>
      <c r="L439" s="3">
        <f t="shared" si="42"/>
        <v>2.7443181818181817</v>
      </c>
      <c r="M439" s="3">
        <v>45</v>
      </c>
      <c r="N439" s="3">
        <f t="shared" si="38"/>
        <v>0.99834190627869601</v>
      </c>
      <c r="O439" s="3">
        <f t="shared" si="39"/>
        <v>0.88888888888888884</v>
      </c>
      <c r="P439" s="4">
        <f t="shared" si="40"/>
        <v>9.796321704258494</v>
      </c>
    </row>
    <row r="440" spans="1:16">
      <c r="A440" s="1">
        <v>1439</v>
      </c>
      <c r="B440" s="1">
        <f t="shared" si="35"/>
        <v>3.75</v>
      </c>
      <c r="C440">
        <v>4</v>
      </c>
      <c r="D440">
        <v>3</v>
      </c>
      <c r="E440">
        <v>3</v>
      </c>
      <c r="G440" s="3">
        <v>123.75</v>
      </c>
      <c r="H440" s="3">
        <v>1</v>
      </c>
      <c r="I440" s="3">
        <v>6</v>
      </c>
      <c r="J440" s="3">
        <f t="shared" si="41"/>
        <v>2.5454545454545454</v>
      </c>
      <c r="K440" s="3">
        <f t="shared" si="36"/>
        <v>8.295454545454545</v>
      </c>
      <c r="L440" s="3">
        <f t="shared" si="42"/>
        <v>2.7215909090909092</v>
      </c>
      <c r="M440" s="3">
        <v>45</v>
      </c>
      <c r="N440" s="3">
        <f t="shared" si="38"/>
        <v>0.99784689939164373</v>
      </c>
      <c r="O440" s="3">
        <f t="shared" si="39"/>
        <v>0.88888888888888884</v>
      </c>
      <c r="P440" s="4">
        <f t="shared" si="40"/>
        <v>10.182190333735077</v>
      </c>
    </row>
    <row r="441" spans="1:16">
      <c r="A441" s="1">
        <v>1440</v>
      </c>
      <c r="B441" s="1">
        <f t="shared" si="35"/>
        <v>4.5</v>
      </c>
      <c r="C441">
        <v>6</v>
      </c>
      <c r="D441">
        <v>4.5</v>
      </c>
      <c r="E441">
        <v>2</v>
      </c>
      <c r="G441" s="3">
        <v>123.75</v>
      </c>
      <c r="H441" s="3">
        <v>1</v>
      </c>
      <c r="I441" s="3">
        <v>6</v>
      </c>
      <c r="J441" s="3">
        <f t="shared" si="41"/>
        <v>3.8181818181818183</v>
      </c>
      <c r="K441" s="3">
        <f t="shared" si="36"/>
        <v>8.3181818181818183</v>
      </c>
      <c r="L441" s="3">
        <f t="shared" si="42"/>
        <v>2.6761363636363638</v>
      </c>
      <c r="M441" s="3">
        <v>45</v>
      </c>
      <c r="N441" s="3">
        <f t="shared" si="38"/>
        <v>0.90759781766528924</v>
      </c>
      <c r="O441" s="3">
        <f t="shared" si="39"/>
        <v>0.97222222222222221</v>
      </c>
      <c r="P441" s="4">
        <f t="shared" si="40"/>
        <v>10.198001858069329</v>
      </c>
    </row>
    <row r="442" spans="1:16">
      <c r="A442" s="1">
        <v>1441</v>
      </c>
      <c r="B442" s="1">
        <f t="shared" si="35"/>
        <v>1.5</v>
      </c>
      <c r="C442">
        <v>2</v>
      </c>
      <c r="D442">
        <v>3</v>
      </c>
      <c r="E442">
        <v>2</v>
      </c>
      <c r="G442" s="3">
        <v>123.75</v>
      </c>
      <c r="H442" s="3">
        <v>1</v>
      </c>
      <c r="I442" s="3">
        <v>6</v>
      </c>
      <c r="J442" s="3">
        <f t="shared" si="41"/>
        <v>1.2727272727272727</v>
      </c>
      <c r="K442" s="3">
        <f t="shared" si="36"/>
        <v>6.7727272727272725</v>
      </c>
      <c r="L442" s="3">
        <f t="shared" si="42"/>
        <v>2.7670454545454546</v>
      </c>
      <c r="M442" s="3">
        <v>45</v>
      </c>
      <c r="N442" s="3">
        <f t="shared" si="38"/>
        <v>0.99849256054866853</v>
      </c>
      <c r="O442" s="3">
        <f t="shared" si="39"/>
        <v>0.97222222222222221</v>
      </c>
      <c r="P442" s="4">
        <f t="shared" si="40"/>
        <v>8.7434420554981624</v>
      </c>
    </row>
    <row r="443" spans="1:16">
      <c r="A443" s="1">
        <v>1442</v>
      </c>
      <c r="B443" s="1">
        <f t="shared" si="35"/>
        <v>2.25</v>
      </c>
      <c r="C443">
        <v>3</v>
      </c>
      <c r="D443">
        <v>4</v>
      </c>
      <c r="E443">
        <v>3</v>
      </c>
      <c r="G443" s="3">
        <v>123.75</v>
      </c>
      <c r="H443" s="3">
        <v>1</v>
      </c>
      <c r="I443" s="3">
        <v>6</v>
      </c>
      <c r="J443" s="3">
        <f t="shared" si="41"/>
        <v>1.9090909090909092</v>
      </c>
      <c r="K443" s="3">
        <f t="shared" si="36"/>
        <v>7.1590909090909092</v>
      </c>
      <c r="L443" s="3">
        <f t="shared" si="42"/>
        <v>2.7443181818181817</v>
      </c>
      <c r="M443" s="3">
        <v>45</v>
      </c>
      <c r="N443" s="3">
        <f t="shared" si="38"/>
        <v>0.95620175476354452</v>
      </c>
      <c r="O443" s="3">
        <f t="shared" si="39"/>
        <v>0.88888888888888884</v>
      </c>
      <c r="P443" s="4">
        <f t="shared" si="40"/>
        <v>9.0041815527433435</v>
      </c>
    </row>
    <row r="444" spans="1:16">
      <c r="A444" s="1">
        <v>1443</v>
      </c>
      <c r="B444" s="1">
        <f t="shared" si="35"/>
        <v>3</v>
      </c>
      <c r="C444">
        <v>2</v>
      </c>
      <c r="D444">
        <v>3</v>
      </c>
      <c r="E444">
        <v>3</v>
      </c>
      <c r="G444" s="3">
        <v>123.75</v>
      </c>
      <c r="H444" s="3">
        <v>1</v>
      </c>
      <c r="I444" s="3">
        <v>6</v>
      </c>
      <c r="J444" s="3">
        <f t="shared" si="41"/>
        <v>1.2727272727272727</v>
      </c>
      <c r="K444" s="3">
        <f t="shared" si="36"/>
        <v>8.2727272727272734</v>
      </c>
      <c r="L444" s="3">
        <f t="shared" si="42"/>
        <v>2.7670454545454546</v>
      </c>
      <c r="M444" s="3">
        <v>45</v>
      </c>
      <c r="N444" s="3">
        <f t="shared" si="38"/>
        <v>0.99849256054866853</v>
      </c>
      <c r="O444" s="3">
        <f t="shared" si="39"/>
        <v>0.88888888888888884</v>
      </c>
      <c r="P444" s="4">
        <f t="shared" si="40"/>
        <v>10.160108722164832</v>
      </c>
    </row>
    <row r="445" spans="1:16">
      <c r="A445" s="1">
        <v>1444</v>
      </c>
      <c r="B445" s="1">
        <f t="shared" si="35"/>
        <v>3.75</v>
      </c>
      <c r="C445">
        <v>4</v>
      </c>
      <c r="D445">
        <v>3</v>
      </c>
      <c r="E445">
        <v>3</v>
      </c>
      <c r="G445" s="3">
        <v>123.75</v>
      </c>
      <c r="H445" s="3">
        <v>1</v>
      </c>
      <c r="I445" s="3">
        <v>6</v>
      </c>
      <c r="J445" s="3">
        <f t="shared" si="41"/>
        <v>2.5454545454545454</v>
      </c>
      <c r="K445" s="3">
        <f t="shared" si="36"/>
        <v>8.295454545454545</v>
      </c>
      <c r="L445" s="3">
        <f t="shared" si="42"/>
        <v>2.7215909090909092</v>
      </c>
      <c r="M445" s="3">
        <v>45</v>
      </c>
      <c r="N445" s="3">
        <f t="shared" si="38"/>
        <v>0.99784689939164373</v>
      </c>
      <c r="O445" s="3">
        <f t="shared" si="39"/>
        <v>0.88888888888888884</v>
      </c>
      <c r="P445" s="4">
        <f t="shared" si="40"/>
        <v>10.182190333735077</v>
      </c>
    </row>
    <row r="446" spans="1:16">
      <c r="A446" s="1">
        <v>1445</v>
      </c>
      <c r="B446" s="1">
        <f t="shared" si="35"/>
        <v>4.5</v>
      </c>
      <c r="C446">
        <v>2</v>
      </c>
      <c r="D446">
        <v>2</v>
      </c>
      <c r="E446">
        <v>2</v>
      </c>
      <c r="G446" s="3">
        <v>123.75</v>
      </c>
      <c r="H446" s="3">
        <v>1</v>
      </c>
      <c r="I446" s="3">
        <v>6</v>
      </c>
      <c r="J446" s="3">
        <f t="shared" si="41"/>
        <v>1.2727272727272727</v>
      </c>
      <c r="K446" s="3">
        <f t="shared" si="36"/>
        <v>9.7727272727272734</v>
      </c>
      <c r="L446" s="3">
        <f t="shared" si="42"/>
        <v>2.7670454545454546</v>
      </c>
      <c r="M446" s="3">
        <v>45</v>
      </c>
      <c r="N446" s="3">
        <f t="shared" si="38"/>
        <v>0.98365670196280997</v>
      </c>
      <c r="O446" s="3">
        <f t="shared" si="39"/>
        <v>0.97222222222222221</v>
      </c>
      <c r="P446" s="4">
        <f t="shared" si="40"/>
        <v>11.728606196912304</v>
      </c>
    </row>
    <row r="447" spans="1:16">
      <c r="A447" s="1">
        <v>1446</v>
      </c>
      <c r="B447" s="1">
        <f t="shared" si="35"/>
        <v>1.5</v>
      </c>
      <c r="J447" s="3"/>
      <c r="K447" s="3"/>
      <c r="L447" s="3"/>
      <c r="N447" s="3"/>
      <c r="O447" s="3"/>
    </row>
    <row r="448" spans="1:16">
      <c r="A448" s="1">
        <v>1447</v>
      </c>
      <c r="B448" s="1">
        <f t="shared" si="35"/>
        <v>2.25</v>
      </c>
      <c r="J448" s="3"/>
      <c r="K448" s="3"/>
      <c r="L448" s="3"/>
      <c r="N448" s="3"/>
      <c r="O448" s="3"/>
    </row>
    <row r="449" spans="1:15">
      <c r="A449" s="1">
        <v>1448</v>
      </c>
      <c r="B449" s="1">
        <f t="shared" si="35"/>
        <v>3</v>
      </c>
      <c r="J449" s="3"/>
      <c r="K449" s="3"/>
      <c r="L449" s="3"/>
      <c r="N449" s="3"/>
      <c r="O449" s="3"/>
    </row>
    <row r="450" spans="1:15">
      <c r="A450" s="1">
        <v>1449</v>
      </c>
      <c r="B450" s="1">
        <f t="shared" si="35"/>
        <v>3.75</v>
      </c>
      <c r="J450" s="3"/>
      <c r="K450" s="3"/>
      <c r="L450" s="3"/>
      <c r="N450" s="3"/>
      <c r="O450" s="3"/>
    </row>
    <row r="451" spans="1:15">
      <c r="A451" s="1">
        <v>1450</v>
      </c>
      <c r="B451" s="1">
        <f t="shared" ref="B451:B501" si="43">IF(MOD(A451,5)=0,4.5,MOD(A451,5)*0.75+0.75)</f>
        <v>4.5</v>
      </c>
      <c r="J451" s="3"/>
      <c r="K451" s="3"/>
      <c r="L451" s="3"/>
      <c r="N451" s="3"/>
      <c r="O451" s="3"/>
    </row>
    <row r="452" spans="1:15">
      <c r="A452" s="1">
        <v>1451</v>
      </c>
      <c r="B452" s="1">
        <f t="shared" si="43"/>
        <v>1.5</v>
      </c>
      <c r="J452" s="3"/>
      <c r="K452" s="3"/>
      <c r="L452" s="3"/>
      <c r="N452" s="3"/>
      <c r="O452" s="3"/>
    </row>
    <row r="453" spans="1:15">
      <c r="A453" s="1">
        <v>1452</v>
      </c>
      <c r="B453" s="1">
        <f t="shared" si="43"/>
        <v>2.25</v>
      </c>
      <c r="J453" s="3"/>
      <c r="K453" s="3"/>
      <c r="L453" s="3"/>
      <c r="N453" s="3"/>
      <c r="O453" s="3"/>
    </row>
    <row r="454" spans="1:15">
      <c r="A454" s="1">
        <v>1453</v>
      </c>
      <c r="B454" s="1">
        <f t="shared" si="43"/>
        <v>3</v>
      </c>
      <c r="J454" s="3"/>
      <c r="K454" s="3"/>
      <c r="L454" s="3"/>
      <c r="N454" s="3"/>
      <c r="O454" s="3"/>
    </row>
    <row r="455" spans="1:15">
      <c r="A455" s="1">
        <v>1454</v>
      </c>
      <c r="B455" s="1">
        <f t="shared" si="43"/>
        <v>3.75</v>
      </c>
      <c r="J455" s="3"/>
      <c r="K455" s="3"/>
      <c r="L455" s="3"/>
      <c r="N455" s="3"/>
      <c r="O455" s="3"/>
    </row>
    <row r="456" spans="1:15">
      <c r="A456" s="1">
        <v>1455</v>
      </c>
      <c r="B456" s="1">
        <f t="shared" si="43"/>
        <v>4.5</v>
      </c>
      <c r="J456" s="3"/>
      <c r="K456" s="3"/>
      <c r="L456" s="3"/>
      <c r="N456" s="3"/>
      <c r="O456" s="3"/>
    </row>
    <row r="457" spans="1:15">
      <c r="A457" s="1">
        <v>1456</v>
      </c>
      <c r="B457" s="1">
        <f t="shared" si="43"/>
        <v>1.5</v>
      </c>
      <c r="J457" s="3"/>
      <c r="K457" s="3"/>
      <c r="L457" s="3"/>
      <c r="N457" s="3"/>
      <c r="O457" s="3"/>
    </row>
    <row r="458" spans="1:15">
      <c r="A458" s="1">
        <v>1457</v>
      </c>
      <c r="B458" s="1">
        <f t="shared" si="43"/>
        <v>2.25</v>
      </c>
      <c r="J458" s="3"/>
      <c r="K458" s="3"/>
      <c r="L458" s="3"/>
      <c r="N458" s="3"/>
      <c r="O458" s="3"/>
    </row>
    <row r="459" spans="1:15">
      <c r="A459" s="1">
        <v>1458</v>
      </c>
      <c r="B459" s="1">
        <f t="shared" si="43"/>
        <v>3</v>
      </c>
      <c r="J459" s="3"/>
      <c r="K459" s="3"/>
      <c r="L459" s="3"/>
      <c r="N459" s="3"/>
      <c r="O459" s="3"/>
    </row>
    <row r="460" spans="1:15">
      <c r="A460" s="1">
        <v>1459</v>
      </c>
      <c r="B460" s="1">
        <f t="shared" si="43"/>
        <v>3.75</v>
      </c>
      <c r="J460" s="3"/>
      <c r="K460" s="3"/>
      <c r="L460" s="3"/>
      <c r="N460" s="3"/>
      <c r="O460" s="3"/>
    </row>
    <row r="461" spans="1:15">
      <c r="A461" s="1">
        <v>1460</v>
      </c>
      <c r="B461" s="1">
        <f t="shared" si="43"/>
        <v>4.5</v>
      </c>
      <c r="J461" s="3"/>
      <c r="K461" s="3"/>
      <c r="L461" s="3"/>
      <c r="N461" s="3"/>
      <c r="O461" s="3"/>
    </row>
    <row r="462" spans="1:15">
      <c r="A462" s="1">
        <v>1461</v>
      </c>
      <c r="B462" s="1">
        <f t="shared" si="43"/>
        <v>1.5</v>
      </c>
      <c r="J462" s="3"/>
      <c r="K462" s="3"/>
      <c r="L462" s="3"/>
      <c r="N462" s="3"/>
      <c r="O462" s="3"/>
    </row>
    <row r="463" spans="1:15">
      <c r="A463" s="1">
        <v>1462</v>
      </c>
      <c r="B463" s="1">
        <f t="shared" si="43"/>
        <v>2.25</v>
      </c>
      <c r="J463" s="3"/>
      <c r="K463" s="3"/>
      <c r="L463" s="3"/>
      <c r="N463" s="3"/>
      <c r="O463" s="3"/>
    </row>
    <row r="464" spans="1:15">
      <c r="A464" s="1">
        <v>1463</v>
      </c>
      <c r="B464" s="1">
        <f t="shared" si="43"/>
        <v>3</v>
      </c>
      <c r="J464" s="3"/>
      <c r="K464" s="3"/>
      <c r="L464" s="3"/>
      <c r="N464" s="3"/>
      <c r="O464" s="3"/>
    </row>
    <row r="465" spans="1:15">
      <c r="A465" s="1">
        <v>1464</v>
      </c>
      <c r="B465" s="1">
        <f t="shared" si="43"/>
        <v>3.75</v>
      </c>
      <c r="J465" s="3"/>
      <c r="K465" s="3"/>
      <c r="L465" s="3"/>
      <c r="N465" s="3"/>
      <c r="O465" s="3"/>
    </row>
    <row r="466" spans="1:15">
      <c r="A466" s="1">
        <v>1465</v>
      </c>
      <c r="B466" s="1">
        <f t="shared" si="43"/>
        <v>4.5</v>
      </c>
      <c r="J466" s="3"/>
      <c r="K466" s="3"/>
      <c r="L466" s="3"/>
      <c r="N466" s="3"/>
      <c r="O466" s="3"/>
    </row>
    <row r="467" spans="1:15">
      <c r="A467" s="1">
        <v>1466</v>
      </c>
      <c r="B467" s="1">
        <f t="shared" si="43"/>
        <v>1.5</v>
      </c>
      <c r="J467" s="3"/>
      <c r="K467" s="3"/>
      <c r="L467" s="3"/>
      <c r="N467" s="3"/>
      <c r="O467" s="3"/>
    </row>
    <row r="468" spans="1:15">
      <c r="A468" s="1">
        <v>1467</v>
      </c>
      <c r="B468" s="1">
        <f t="shared" si="43"/>
        <v>2.25</v>
      </c>
      <c r="J468" s="3"/>
      <c r="K468" s="3"/>
      <c r="L468" s="3"/>
      <c r="N468" s="3"/>
      <c r="O468" s="3"/>
    </row>
    <row r="469" spans="1:15">
      <c r="A469" s="1">
        <v>1468</v>
      </c>
      <c r="B469" s="1">
        <f t="shared" si="43"/>
        <v>3</v>
      </c>
      <c r="J469" s="3"/>
      <c r="K469" s="3"/>
      <c r="L469" s="3"/>
      <c r="N469" s="3"/>
      <c r="O469" s="3"/>
    </row>
    <row r="470" spans="1:15">
      <c r="A470" s="1">
        <v>1469</v>
      </c>
      <c r="B470" s="1">
        <f t="shared" si="43"/>
        <v>3.75</v>
      </c>
      <c r="J470" s="3"/>
      <c r="K470" s="3"/>
      <c r="L470" s="3"/>
      <c r="N470" s="3"/>
      <c r="O470" s="3"/>
    </row>
    <row r="471" spans="1:15">
      <c r="A471" s="1">
        <v>1470</v>
      </c>
      <c r="B471" s="1">
        <f t="shared" si="43"/>
        <v>4.5</v>
      </c>
      <c r="J471" s="3"/>
      <c r="K471" s="3"/>
      <c r="L471" s="3"/>
      <c r="N471" s="3"/>
      <c r="O471" s="3"/>
    </row>
    <row r="472" spans="1:15">
      <c r="A472" s="1">
        <v>1471</v>
      </c>
      <c r="B472" s="1">
        <f t="shared" si="43"/>
        <v>1.5</v>
      </c>
      <c r="J472" s="3"/>
      <c r="K472" s="3"/>
      <c r="L472" s="3"/>
      <c r="N472" s="3"/>
      <c r="O472" s="3"/>
    </row>
    <row r="473" spans="1:15">
      <c r="A473" s="1">
        <v>1472</v>
      </c>
      <c r="B473" s="1">
        <f t="shared" si="43"/>
        <v>2.25</v>
      </c>
      <c r="J473" s="3"/>
      <c r="K473" s="3"/>
      <c r="L473" s="3"/>
      <c r="N473" s="3"/>
      <c r="O473" s="3"/>
    </row>
    <row r="474" spans="1:15">
      <c r="A474" s="1">
        <v>1473</v>
      </c>
      <c r="B474" s="1">
        <f t="shared" si="43"/>
        <v>3</v>
      </c>
      <c r="J474" s="3"/>
      <c r="K474" s="3"/>
      <c r="L474" s="3"/>
      <c r="N474" s="3"/>
      <c r="O474" s="3"/>
    </row>
    <row r="475" spans="1:15">
      <c r="A475" s="1">
        <v>1474</v>
      </c>
      <c r="B475" s="1">
        <f t="shared" si="43"/>
        <v>3.75</v>
      </c>
      <c r="J475" s="3"/>
      <c r="K475" s="3"/>
      <c r="L475" s="3"/>
      <c r="N475" s="3"/>
      <c r="O475" s="3"/>
    </row>
    <row r="476" spans="1:15">
      <c r="A476" s="1">
        <v>1475</v>
      </c>
      <c r="B476" s="1">
        <f t="shared" si="43"/>
        <v>4.5</v>
      </c>
      <c r="J476" s="3"/>
      <c r="K476" s="3"/>
      <c r="L476" s="3"/>
      <c r="N476" s="3"/>
      <c r="O476" s="3"/>
    </row>
    <row r="477" spans="1:15">
      <c r="A477" s="1">
        <v>1476</v>
      </c>
      <c r="B477" s="1">
        <f t="shared" si="43"/>
        <v>1.5</v>
      </c>
      <c r="J477" s="3"/>
      <c r="K477" s="3"/>
      <c r="L477" s="3"/>
      <c r="N477" s="3"/>
      <c r="O477" s="3"/>
    </row>
    <row r="478" spans="1:15">
      <c r="A478" s="1">
        <v>1477</v>
      </c>
      <c r="B478" s="1">
        <f t="shared" si="43"/>
        <v>2.25</v>
      </c>
      <c r="J478" s="3"/>
      <c r="K478" s="3"/>
      <c r="L478" s="3"/>
      <c r="N478" s="3"/>
      <c r="O478" s="3"/>
    </row>
    <row r="479" spans="1:15">
      <c r="A479" s="1">
        <v>1478</v>
      </c>
      <c r="B479" s="1">
        <f t="shared" si="43"/>
        <v>3</v>
      </c>
      <c r="J479" s="3"/>
      <c r="K479" s="3"/>
      <c r="L479" s="3"/>
      <c r="N479" s="3"/>
      <c r="O479" s="3"/>
    </row>
    <row r="480" spans="1:15">
      <c r="A480" s="1">
        <v>1479</v>
      </c>
      <c r="B480" s="1">
        <f t="shared" si="43"/>
        <v>3.75</v>
      </c>
      <c r="J480" s="3"/>
      <c r="K480" s="3"/>
      <c r="L480" s="3"/>
      <c r="N480" s="3"/>
      <c r="O480" s="3"/>
    </row>
    <row r="481" spans="1:16">
      <c r="A481" s="1">
        <v>1480</v>
      </c>
      <c r="B481" s="1">
        <f t="shared" si="43"/>
        <v>4.5</v>
      </c>
      <c r="J481" s="3"/>
      <c r="K481" s="3"/>
      <c r="L481" s="3"/>
      <c r="N481" s="3"/>
      <c r="O481" s="3"/>
    </row>
    <row r="482" spans="1:16">
      <c r="A482" s="1">
        <v>1481</v>
      </c>
      <c r="B482" s="1">
        <f t="shared" si="43"/>
        <v>1.5</v>
      </c>
      <c r="J482" s="3"/>
      <c r="K482" s="3"/>
      <c r="L482" s="3"/>
      <c r="N482" s="3"/>
      <c r="O482" s="3"/>
    </row>
    <row r="483" spans="1:16">
      <c r="A483" s="1">
        <v>1482</v>
      </c>
      <c r="B483" s="1">
        <f t="shared" si="43"/>
        <v>2.25</v>
      </c>
      <c r="J483" s="3"/>
      <c r="K483" s="3"/>
      <c r="L483" s="3"/>
      <c r="N483" s="3"/>
      <c r="O483" s="3"/>
    </row>
    <row r="484" spans="1:16">
      <c r="A484" s="1">
        <v>1483</v>
      </c>
      <c r="B484" s="1">
        <f t="shared" si="43"/>
        <v>3</v>
      </c>
      <c r="J484" s="3"/>
      <c r="K484" s="3"/>
      <c r="L484" s="3"/>
      <c r="N484" s="3"/>
      <c r="O484" s="3"/>
    </row>
    <row r="485" spans="1:16">
      <c r="A485" s="1">
        <v>1484</v>
      </c>
      <c r="B485" s="1">
        <f t="shared" si="43"/>
        <v>3.75</v>
      </c>
      <c r="J485" s="3"/>
      <c r="K485" s="3"/>
      <c r="L485" s="3"/>
      <c r="N485" s="3"/>
      <c r="O485" s="3"/>
    </row>
    <row r="486" spans="1:16">
      <c r="A486" s="1">
        <v>1485</v>
      </c>
      <c r="B486" s="1">
        <f t="shared" si="43"/>
        <v>4.5</v>
      </c>
      <c r="J486" s="3"/>
      <c r="K486" s="3"/>
      <c r="L486" s="3"/>
      <c r="N486" s="3"/>
      <c r="O486" s="3"/>
    </row>
    <row r="487" spans="1:16">
      <c r="A487" s="1">
        <v>1486</v>
      </c>
      <c r="B487" s="1">
        <f t="shared" si="43"/>
        <v>1.5</v>
      </c>
      <c r="C487">
        <v>1.5</v>
      </c>
      <c r="D487">
        <v>2</v>
      </c>
      <c r="E487">
        <v>2</v>
      </c>
      <c r="G487">
        <v>16.5</v>
      </c>
      <c r="H487" s="3">
        <v>1</v>
      </c>
      <c r="I487" s="3">
        <v>6</v>
      </c>
      <c r="J487" s="3">
        <f>C487*(G487-5)/G487</f>
        <v>1.0454545454545454</v>
      </c>
      <c r="K487" s="3">
        <f t="shared" ref="K487:K501" si="44">I487+H487*(B487-C487+J487)</f>
        <v>7.045454545454545</v>
      </c>
      <c r="L487" s="3">
        <f t="shared" si="42"/>
        <v>3.75</v>
      </c>
      <c r="M487">
        <v>5</v>
      </c>
      <c r="N487" s="3">
        <f t="shared" ref="N487:N501" si="45">1-1/36*((D487-L487)^2)</f>
        <v>0.91493055555555558</v>
      </c>
      <c r="O487" s="3">
        <f t="shared" ref="O487:O501" si="46">1-1/36*((E487-1)^2)</f>
        <v>0.97222222222222221</v>
      </c>
      <c r="P487" s="4">
        <f t="shared" ref="P487:P501" si="47">K487+N487+O487</f>
        <v>8.9326073232323218</v>
      </c>
    </row>
    <row r="488" spans="1:16">
      <c r="A488" s="1">
        <v>1487</v>
      </c>
      <c r="B488" s="1">
        <f t="shared" si="43"/>
        <v>2.25</v>
      </c>
      <c r="C488">
        <v>4</v>
      </c>
      <c r="D488">
        <v>3.5</v>
      </c>
      <c r="E488">
        <v>3.5</v>
      </c>
      <c r="G488" s="3">
        <v>16.5</v>
      </c>
      <c r="H488" s="3">
        <v>1</v>
      </c>
      <c r="I488" s="3">
        <v>6</v>
      </c>
      <c r="J488" s="3">
        <f t="shared" ref="J488:J501" si="48">C488*(G488-5)/G488</f>
        <v>2.7878787878787881</v>
      </c>
      <c r="K488" s="3">
        <f t="shared" si="44"/>
        <v>7.0378787878787881</v>
      </c>
      <c r="L488" s="3">
        <f t="shared" si="42"/>
        <v>3.125</v>
      </c>
      <c r="M488" s="3">
        <v>5</v>
      </c>
      <c r="N488" s="3">
        <f t="shared" si="45"/>
        <v>0.99609375</v>
      </c>
      <c r="O488" s="3">
        <f t="shared" si="46"/>
        <v>0.82638888888888884</v>
      </c>
      <c r="P488" s="4">
        <f t="shared" si="47"/>
        <v>8.8603614267676782</v>
      </c>
    </row>
    <row r="489" spans="1:16">
      <c r="A489" s="1">
        <v>1488</v>
      </c>
      <c r="B489" s="1">
        <f t="shared" si="43"/>
        <v>3</v>
      </c>
      <c r="C489">
        <v>5</v>
      </c>
      <c r="D489">
        <v>3.29</v>
      </c>
      <c r="E489">
        <v>4</v>
      </c>
      <c r="G489" s="3">
        <v>16.5</v>
      </c>
      <c r="H489" s="3">
        <v>1</v>
      </c>
      <c r="I489" s="3">
        <v>6</v>
      </c>
      <c r="J489" s="3">
        <f t="shared" si="48"/>
        <v>3.4848484848484849</v>
      </c>
      <c r="K489" s="3">
        <f t="shared" si="44"/>
        <v>7.4848484848484844</v>
      </c>
      <c r="L489" s="3">
        <f t="shared" si="42"/>
        <v>2.875</v>
      </c>
      <c r="M489" s="3">
        <v>5</v>
      </c>
      <c r="N489" s="3">
        <f t="shared" si="45"/>
        <v>0.99521597222222224</v>
      </c>
      <c r="O489" s="3">
        <f t="shared" si="46"/>
        <v>0.75</v>
      </c>
      <c r="P489" s="4">
        <f t="shared" si="47"/>
        <v>9.2300644570707071</v>
      </c>
    </row>
    <row r="490" spans="1:16">
      <c r="A490" s="1">
        <v>1489</v>
      </c>
      <c r="B490" s="1">
        <f t="shared" si="43"/>
        <v>3.75</v>
      </c>
      <c r="C490">
        <v>3</v>
      </c>
      <c r="D490">
        <v>3</v>
      </c>
      <c r="E490">
        <v>2</v>
      </c>
      <c r="G490" s="3">
        <v>16.5</v>
      </c>
      <c r="H490" s="3">
        <v>1</v>
      </c>
      <c r="I490" s="3">
        <v>6</v>
      </c>
      <c r="J490" s="3">
        <f t="shared" si="48"/>
        <v>2.0909090909090908</v>
      </c>
      <c r="K490" s="3">
        <f t="shared" si="44"/>
        <v>8.8409090909090899</v>
      </c>
      <c r="L490" s="3">
        <f t="shared" si="42"/>
        <v>3.375</v>
      </c>
      <c r="M490" s="3">
        <v>5</v>
      </c>
      <c r="N490" s="3">
        <f t="shared" si="45"/>
        <v>0.99609375</v>
      </c>
      <c r="O490" s="3">
        <f t="shared" si="46"/>
        <v>0.97222222222222221</v>
      </c>
      <c r="P490" s="4">
        <f t="shared" si="47"/>
        <v>10.809225063131311</v>
      </c>
    </row>
    <row r="491" spans="1:16">
      <c r="A491" s="1">
        <v>1490</v>
      </c>
      <c r="B491" s="1">
        <f t="shared" si="43"/>
        <v>4.5</v>
      </c>
      <c r="C491">
        <v>3</v>
      </c>
      <c r="D491">
        <v>3</v>
      </c>
      <c r="E491">
        <v>3</v>
      </c>
      <c r="G491" s="3">
        <v>16.5</v>
      </c>
      <c r="H491" s="3">
        <v>1</v>
      </c>
      <c r="I491" s="3">
        <v>6</v>
      </c>
      <c r="J491" s="3">
        <f t="shared" si="48"/>
        <v>2.0909090909090908</v>
      </c>
      <c r="K491" s="3">
        <f t="shared" si="44"/>
        <v>9.5909090909090899</v>
      </c>
      <c r="L491" s="3">
        <f t="shared" si="42"/>
        <v>3.375</v>
      </c>
      <c r="M491" s="3">
        <v>5</v>
      </c>
      <c r="N491" s="3">
        <f t="shared" si="45"/>
        <v>0.99609375</v>
      </c>
      <c r="O491" s="3">
        <f t="shared" si="46"/>
        <v>0.88888888888888884</v>
      </c>
      <c r="P491" s="4">
        <f t="shared" si="47"/>
        <v>11.475891729797979</v>
      </c>
    </row>
    <row r="492" spans="1:16">
      <c r="A492" s="1">
        <v>1491</v>
      </c>
      <c r="B492" s="1">
        <f t="shared" si="43"/>
        <v>1.5</v>
      </c>
      <c r="C492">
        <v>4</v>
      </c>
      <c r="D492">
        <v>3</v>
      </c>
      <c r="E492">
        <v>2.5</v>
      </c>
      <c r="G492">
        <v>16.739999999999998</v>
      </c>
      <c r="H492" s="3">
        <v>1</v>
      </c>
      <c r="I492" s="3">
        <v>6</v>
      </c>
      <c r="J492" s="3">
        <f t="shared" si="48"/>
        <v>2.8052568697729985</v>
      </c>
      <c r="K492" s="3">
        <f t="shared" si="44"/>
        <v>6.3052568697729985</v>
      </c>
      <c r="L492" s="3">
        <f t="shared" si="42"/>
        <v>3.1849999999999996</v>
      </c>
      <c r="M492" s="3">
        <v>5</v>
      </c>
      <c r="N492" s="3">
        <f t="shared" si="45"/>
        <v>0.9990493055555556</v>
      </c>
      <c r="O492" s="3">
        <f t="shared" si="46"/>
        <v>0.9375</v>
      </c>
      <c r="P492" s="4">
        <f t="shared" si="47"/>
        <v>8.2418061753285539</v>
      </c>
    </row>
    <row r="493" spans="1:16">
      <c r="A493" s="1">
        <v>1492</v>
      </c>
      <c r="B493" s="1">
        <f t="shared" si="43"/>
        <v>2.25</v>
      </c>
      <c r="C493">
        <v>2.2400000000000002</v>
      </c>
      <c r="D493">
        <v>3</v>
      </c>
      <c r="E493">
        <v>3</v>
      </c>
      <c r="G493" s="3">
        <v>16.739999999999998</v>
      </c>
      <c r="H493" s="3">
        <v>1</v>
      </c>
      <c r="I493" s="3">
        <v>6</v>
      </c>
      <c r="J493" s="3">
        <f t="shared" si="48"/>
        <v>1.5709438470728794</v>
      </c>
      <c r="K493" s="3">
        <f t="shared" si="44"/>
        <v>7.5809438470728789</v>
      </c>
      <c r="L493" s="3">
        <f t="shared" si="42"/>
        <v>3.6249999999999996</v>
      </c>
      <c r="M493" s="3">
        <v>5</v>
      </c>
      <c r="N493" s="3">
        <f t="shared" si="45"/>
        <v>0.98914930555555558</v>
      </c>
      <c r="O493" s="3">
        <f t="shared" si="46"/>
        <v>0.88888888888888884</v>
      </c>
      <c r="P493" s="4">
        <f t="shared" si="47"/>
        <v>9.4589820415173236</v>
      </c>
    </row>
    <row r="494" spans="1:16">
      <c r="A494" s="1">
        <v>1493</v>
      </c>
      <c r="B494" s="1">
        <f t="shared" si="43"/>
        <v>3</v>
      </c>
      <c r="C494">
        <v>3</v>
      </c>
      <c r="D494">
        <v>3</v>
      </c>
      <c r="E494">
        <v>3</v>
      </c>
      <c r="G494" s="3">
        <v>16.739999999999998</v>
      </c>
      <c r="H494" s="3">
        <v>1</v>
      </c>
      <c r="I494" s="3">
        <v>6</v>
      </c>
      <c r="J494" s="3">
        <f t="shared" si="48"/>
        <v>2.1039426523297493</v>
      </c>
      <c r="K494" s="3">
        <f t="shared" si="44"/>
        <v>8.1039426523297493</v>
      </c>
      <c r="L494" s="3">
        <f t="shared" ref="L494:L501" si="49">(G494-C494)/(M494-1)</f>
        <v>3.4349999999999996</v>
      </c>
      <c r="M494" s="3">
        <v>5</v>
      </c>
      <c r="N494" s="3">
        <f t="shared" si="45"/>
        <v>0.99474375000000004</v>
      </c>
      <c r="O494" s="3">
        <f t="shared" si="46"/>
        <v>0.88888888888888884</v>
      </c>
      <c r="P494" s="4">
        <f t="shared" si="47"/>
        <v>9.9875752912186382</v>
      </c>
    </row>
    <row r="495" spans="1:16">
      <c r="A495" s="1">
        <v>1494</v>
      </c>
      <c r="B495" s="1">
        <f t="shared" si="43"/>
        <v>3.75</v>
      </c>
      <c r="C495">
        <v>3</v>
      </c>
      <c r="D495">
        <v>3</v>
      </c>
      <c r="E495">
        <v>3.75</v>
      </c>
      <c r="G495" s="3">
        <v>16.739999999999998</v>
      </c>
      <c r="H495" s="3">
        <v>1</v>
      </c>
      <c r="I495" s="3">
        <v>6</v>
      </c>
      <c r="J495" s="3">
        <f t="shared" si="48"/>
        <v>2.1039426523297493</v>
      </c>
      <c r="K495" s="3">
        <f t="shared" si="44"/>
        <v>8.8539426523297493</v>
      </c>
      <c r="L495" s="3">
        <f t="shared" si="49"/>
        <v>3.4349999999999996</v>
      </c>
      <c r="M495" s="3">
        <v>5</v>
      </c>
      <c r="N495" s="3">
        <f t="shared" si="45"/>
        <v>0.99474375000000004</v>
      </c>
      <c r="O495" s="3">
        <f t="shared" si="46"/>
        <v>0.78993055555555558</v>
      </c>
      <c r="P495" s="4">
        <f t="shared" si="47"/>
        <v>10.638616957885304</v>
      </c>
    </row>
    <row r="496" spans="1:16">
      <c r="A496" s="1">
        <v>1495</v>
      </c>
      <c r="B496" s="1">
        <f t="shared" si="43"/>
        <v>4.5</v>
      </c>
      <c r="C496">
        <v>4.5</v>
      </c>
      <c r="D496">
        <v>4</v>
      </c>
      <c r="E496">
        <v>3.5</v>
      </c>
      <c r="G496" s="3">
        <v>16.739999999999998</v>
      </c>
      <c r="H496" s="3">
        <v>1</v>
      </c>
      <c r="I496" s="3">
        <v>6</v>
      </c>
      <c r="J496" s="3">
        <f t="shared" si="48"/>
        <v>3.1559139784946235</v>
      </c>
      <c r="K496" s="3">
        <f t="shared" si="44"/>
        <v>9.155913978494624</v>
      </c>
      <c r="L496" s="3">
        <f t="shared" si="49"/>
        <v>3.0599999999999996</v>
      </c>
      <c r="M496" s="3">
        <v>5</v>
      </c>
      <c r="N496" s="3">
        <f t="shared" si="45"/>
        <v>0.97545555555555552</v>
      </c>
      <c r="O496" s="3">
        <f t="shared" si="46"/>
        <v>0.82638888888888884</v>
      </c>
      <c r="P496" s="4">
        <f t="shared" si="47"/>
        <v>10.957758422939069</v>
      </c>
    </row>
    <row r="497" spans="1:16">
      <c r="A497" s="1">
        <v>1496</v>
      </c>
      <c r="B497" s="1">
        <f t="shared" si="43"/>
        <v>1.5</v>
      </c>
      <c r="C497">
        <v>5</v>
      </c>
      <c r="D497">
        <v>4</v>
      </c>
      <c r="E497">
        <v>3</v>
      </c>
      <c r="G497">
        <v>16</v>
      </c>
      <c r="H497" s="3">
        <v>1</v>
      </c>
      <c r="I497" s="3">
        <v>6</v>
      </c>
      <c r="J497" s="3">
        <f t="shared" si="48"/>
        <v>3.4375</v>
      </c>
      <c r="K497" s="3">
        <f t="shared" si="44"/>
        <v>5.9375</v>
      </c>
      <c r="L497" s="3">
        <f t="shared" si="49"/>
        <v>2.75</v>
      </c>
      <c r="M497" s="3">
        <v>5</v>
      </c>
      <c r="N497" s="3">
        <f t="shared" si="45"/>
        <v>0.95659722222222221</v>
      </c>
      <c r="O497" s="3">
        <f t="shared" si="46"/>
        <v>0.88888888888888884</v>
      </c>
      <c r="P497" s="4">
        <f t="shared" si="47"/>
        <v>7.7829861111111107</v>
      </c>
    </row>
    <row r="498" spans="1:16">
      <c r="A498" s="1">
        <v>1497</v>
      </c>
      <c r="B498" s="1">
        <f t="shared" si="43"/>
        <v>2.25</v>
      </c>
      <c r="C498">
        <v>2</v>
      </c>
      <c r="D498">
        <v>2</v>
      </c>
      <c r="E498">
        <v>3</v>
      </c>
      <c r="G498" s="3">
        <v>16</v>
      </c>
      <c r="H498" s="3">
        <v>1</v>
      </c>
      <c r="I498" s="3">
        <v>6</v>
      </c>
      <c r="J498" s="3">
        <f t="shared" si="48"/>
        <v>1.375</v>
      </c>
      <c r="K498" s="3">
        <f t="shared" si="44"/>
        <v>7.625</v>
      </c>
      <c r="L498" s="3">
        <f t="shared" si="49"/>
        <v>3.5</v>
      </c>
      <c r="M498" s="3">
        <v>5</v>
      </c>
      <c r="N498" s="3">
        <f t="shared" si="45"/>
        <v>0.9375</v>
      </c>
      <c r="O498" s="3">
        <f t="shared" si="46"/>
        <v>0.88888888888888884</v>
      </c>
      <c r="P498" s="4">
        <f t="shared" si="47"/>
        <v>9.4513888888888893</v>
      </c>
    </row>
    <row r="499" spans="1:16">
      <c r="A499" s="1">
        <v>1498</v>
      </c>
      <c r="B499" s="1">
        <f t="shared" si="43"/>
        <v>3</v>
      </c>
      <c r="C499">
        <v>3</v>
      </c>
      <c r="D499">
        <v>3</v>
      </c>
      <c r="E499">
        <v>3.5</v>
      </c>
      <c r="G499" s="3">
        <v>16</v>
      </c>
      <c r="H499" s="3">
        <v>1</v>
      </c>
      <c r="I499" s="3">
        <v>6</v>
      </c>
      <c r="J499" s="3">
        <f t="shared" si="48"/>
        <v>2.0625</v>
      </c>
      <c r="K499" s="3">
        <f t="shared" si="44"/>
        <v>8.0625</v>
      </c>
      <c r="L499" s="3">
        <f t="shared" si="49"/>
        <v>3.25</v>
      </c>
      <c r="M499" s="3">
        <v>5</v>
      </c>
      <c r="N499" s="3">
        <f t="shared" si="45"/>
        <v>0.99826388888888884</v>
      </c>
      <c r="O499" s="3">
        <f t="shared" si="46"/>
        <v>0.82638888888888884</v>
      </c>
      <c r="P499" s="4">
        <f t="shared" si="47"/>
        <v>9.8871527777777786</v>
      </c>
    </row>
    <row r="500" spans="1:16">
      <c r="A500" s="1">
        <v>1499</v>
      </c>
      <c r="B500" s="1">
        <f t="shared" si="43"/>
        <v>3.75</v>
      </c>
      <c r="C500">
        <v>3</v>
      </c>
      <c r="D500">
        <v>3</v>
      </c>
      <c r="E500">
        <v>5</v>
      </c>
      <c r="G500" s="3">
        <v>16</v>
      </c>
      <c r="H500" s="3">
        <v>1</v>
      </c>
      <c r="I500" s="3">
        <v>6</v>
      </c>
      <c r="J500" s="3">
        <f t="shared" si="48"/>
        <v>2.0625</v>
      </c>
      <c r="K500" s="3">
        <f t="shared" si="44"/>
        <v>8.8125</v>
      </c>
      <c r="L500" s="3">
        <f t="shared" si="49"/>
        <v>3.25</v>
      </c>
      <c r="M500" s="3">
        <v>5</v>
      </c>
      <c r="N500" s="3">
        <f t="shared" si="45"/>
        <v>0.99826388888888884</v>
      </c>
      <c r="O500" s="3">
        <f t="shared" si="46"/>
        <v>0.55555555555555558</v>
      </c>
      <c r="P500" s="4">
        <f t="shared" si="47"/>
        <v>10.366319444444445</v>
      </c>
    </row>
    <row r="501" spans="1:16">
      <c r="A501" s="1">
        <v>1500</v>
      </c>
      <c r="B501" s="1">
        <f t="shared" si="43"/>
        <v>4.5</v>
      </c>
      <c r="C501">
        <v>3</v>
      </c>
      <c r="D501">
        <v>3</v>
      </c>
      <c r="E501">
        <v>4</v>
      </c>
      <c r="G501" s="3">
        <v>16</v>
      </c>
      <c r="H501" s="3">
        <v>1</v>
      </c>
      <c r="I501" s="3">
        <v>6</v>
      </c>
      <c r="J501" s="3">
        <f t="shared" si="48"/>
        <v>2.0625</v>
      </c>
      <c r="K501" s="3">
        <f t="shared" si="44"/>
        <v>9.5625</v>
      </c>
      <c r="L501" s="3">
        <f t="shared" si="49"/>
        <v>3.25</v>
      </c>
      <c r="M501" s="3">
        <v>5</v>
      </c>
      <c r="N501" s="3">
        <f t="shared" si="45"/>
        <v>0.99826388888888884</v>
      </c>
      <c r="O501" s="3">
        <f t="shared" si="46"/>
        <v>0.75</v>
      </c>
      <c r="P501" s="4">
        <f t="shared" si="47"/>
        <v>11.310763888888889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2021-06-13T03:37:55Z</dcterms:modified>
</cp:coreProperties>
</file>